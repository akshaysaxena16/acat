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 lockStructure="1" workbookAlgorithmName="SHA-512" workbookHashValue="wzFoNzfVdL4Dmi+OGf0QVZyL3cjNKyvkR4xrmj9yq6Nei1SEI13Qf7QZ6Sk+CuW13o41oCxG+H2FZpbHK7JX0Q==" workbookSaltValue="28P0ZPqQNJMHt9isURrkZA==" workbookSpinCount="100000"/>
  <bookViews>
    <workbookView visibility="visible" minimized="0" showHorizontalScroll="1" showVerticalScroll="1" showSheetTabs="1" xWindow="0" yWindow="60" windowWidth="14370" windowHeight="7130" tabRatio="340" firstSheet="1" activeTab="1" autoFilterDateGrouping="1"/>
  </bookViews>
  <sheets>
    <sheet name="Lists" sheetId="1" state="hidden" r:id="rId1"/>
    <sheet name="Estimation" sheetId="2" state="visible" r:id="rId2"/>
    <sheet name="Schedule" sheetId="3" state="visible" r:id="rId3"/>
    <sheet name="RoughWork" sheetId="4" state="visible" r:id="rId4"/>
    <sheet name="Help" sheetId="5" state="visible" r:id="rId5"/>
    <sheet name="FAQs" sheetId="6" state="visible" r:id="rId6"/>
  </sheets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  <definedName name="_xlnm.Print_Area" localSheetId="1">'Estimation'!$A$1:$AC$249</definedName>
  </definedNames>
  <calcPr calcId="171027" fullCalcOnLoad="1"/>
</workbook>
</file>

<file path=xl/styles.xml><?xml version="1.0" encoding="utf-8"?>
<styleSheet xmlns="http://schemas.openxmlformats.org/spreadsheetml/2006/main">
  <numFmts count="3">
    <numFmt numFmtId="164" formatCode="0.0"/>
    <numFmt numFmtId="165" formatCode="[$-409]d\-mmm;@"/>
    <numFmt numFmtId="166" formatCode="_(* #,##0_);_(* \(#,##0\);_(* &quot;-&quot;??_);_(@_)"/>
  </numFmts>
  <fonts count="8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2" tint="-0.249977111117893"/>
      <sz val="11"/>
      <scheme val="minor"/>
    </font>
    <font>
      <name val="Calibri"/>
      <family val="2"/>
      <color rgb="FFC00000"/>
      <sz val="8"/>
      <scheme val="minor"/>
    </font>
    <font>
      <name val="Calibri"/>
      <family val="2"/>
      <color theme="1"/>
      <sz val="14"/>
      <scheme val="minor"/>
    </font>
    <font>
      <name val="Calibri"/>
      <family val="2"/>
      <color theme="4" tint="-0.499984740745262"/>
      <sz val="14"/>
      <scheme val="minor"/>
    </font>
    <font>
      <name val="Calibri"/>
      <family val="2"/>
      <b val="1"/>
      <color theme="8" tint="-0.249977111117893"/>
      <sz val="12"/>
      <scheme val="minor"/>
    </font>
    <font>
      <name val="Calibri"/>
      <family val="2"/>
      <color theme="8" tint="-0.249977111117893"/>
      <sz val="12"/>
      <scheme val="minor"/>
    </font>
    <font>
      <name val="Calibri"/>
      <family val="2"/>
      <color theme="4" tint="0.7999816888943144"/>
      <sz val="11"/>
      <scheme val="minor"/>
    </font>
    <font>
      <name val="Calibri"/>
      <family val="2"/>
      <b val="1"/>
      <color theme="9" tint="-0.499984740745262"/>
      <sz val="11"/>
      <scheme val="minor"/>
    </font>
    <font>
      <name val="Calibri"/>
      <family val="2"/>
      <i val="1"/>
      <color rgb="FFFF0000"/>
      <sz val="11"/>
      <scheme val="minor"/>
    </font>
    <font>
      <name val="Calibri"/>
      <family val="2"/>
      <color theme="9" tint="-0.499984740745262"/>
      <sz val="16"/>
      <scheme val="minor"/>
    </font>
    <font>
      <name val="Calibri"/>
      <family val="2"/>
      <b val="1"/>
      <color theme="9" tint="-0.499984740745262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theme="9" tint="0.7999816888943144"/>
      <sz val="2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6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70C0"/>
      <sz val="11"/>
      <scheme val="minor"/>
    </font>
    <font>
      <name val="Calibri"/>
      <family val="2"/>
      <i val="1"/>
      <color theme="8" tint="-0.249977111117893"/>
      <sz val="11"/>
      <scheme val="minor"/>
    </font>
    <font>
      <name val="Calibri"/>
      <family val="2"/>
      <b val="1"/>
      <color theme="5" tint="-0.249977111117893"/>
      <sz val="14"/>
      <scheme val="minor"/>
    </font>
    <font>
      <name val="Calibri"/>
      <family val="2"/>
      <i val="1"/>
      <color rgb="FF0070C0"/>
      <sz val="12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C00000"/>
      <sz val="11"/>
      <scheme val="minor"/>
    </font>
    <font>
      <name val="Calibri"/>
      <family val="2"/>
      <color theme="8"/>
      <sz val="11"/>
      <scheme val="minor"/>
    </font>
    <font>
      <name val="Calibri"/>
      <family val="2"/>
      <color rgb="FFFF0000"/>
      <sz val="12"/>
      <scheme val="minor"/>
    </font>
    <font>
      <name val="Calibri"/>
      <family val="2"/>
      <b val="1"/>
      <color theme="9"/>
      <sz val="12"/>
      <scheme val="minor"/>
    </font>
    <font>
      <name val="Calibri"/>
      <family val="2"/>
      <b val="1"/>
      <color theme="8" tint="-0.249977111117893"/>
      <sz val="12"/>
    </font>
    <font>
      <name val="Calibri"/>
      <family val="2"/>
      <color theme="0" tint="-0.1499984740745262"/>
      <sz val="8"/>
      <scheme val="minor"/>
    </font>
    <font>
      <name val="Calibri"/>
      <family val="2"/>
      <color theme="2" tint="-0.499984740745262"/>
      <sz val="9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6"/>
    </font>
    <font>
      <name val="Calibri"/>
      <family val="2"/>
      <color theme="1"/>
      <sz val="18"/>
      <scheme val="minor"/>
    </font>
    <font>
      <name val="Calibri"/>
      <family val="2"/>
      <color theme="1"/>
      <sz val="12"/>
      <scheme val="minor"/>
    </font>
    <font>
      <name val="Calibri"/>
      <family val="2"/>
      <color theme="8" tint="-0.499984740745262"/>
      <sz val="12"/>
      <scheme val="minor"/>
    </font>
    <font>
      <name val="Calibri"/>
      <family val="2"/>
      <b val="1"/>
      <color theme="8" tint="-0.499984740745262"/>
      <sz val="12"/>
      <scheme val="minor"/>
    </font>
    <font>
      <name val="Calibri"/>
      <family val="2"/>
      <color rgb="FFC00000"/>
      <sz val="11"/>
    </font>
    <font>
      <name val="Calibri"/>
      <family val="2"/>
      <color rgb="FFC00000"/>
      <sz val="10"/>
    </font>
    <font>
      <name val="Calibri"/>
      <family val="2"/>
      <color rgb="FFC00000"/>
      <sz val="11"/>
      <scheme val="minor"/>
    </font>
    <font>
      <name val="Calibri"/>
      <family val="2"/>
      <b val="1"/>
      <color theme="8" tint="-0.499984740745262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color theme="5" tint="-0.249977111117893"/>
      <sz val="14"/>
      <scheme val="minor"/>
    </font>
    <font>
      <name val="Calibri"/>
      <family val="2"/>
      <color theme="5" tint="-0.249977111117893"/>
      <sz val="11"/>
      <scheme val="minor"/>
    </font>
    <font>
      <name val="Calibri"/>
      <family val="2"/>
      <i val="1"/>
      <color theme="7" tint="0.7999816888943144"/>
      <sz val="12"/>
      <scheme val="minor"/>
    </font>
    <font>
      <name val="Calibri"/>
      <family val="2"/>
      <color rgb="FF0070C0"/>
      <sz val="14"/>
      <u val="single"/>
      <scheme val="minor"/>
    </font>
    <font>
      <name val="Calibri"/>
      <family val="2"/>
      <color rgb="FF0070C0"/>
      <sz val="12"/>
      <scheme val="minor"/>
    </font>
    <font>
      <name val="Calibri"/>
      <family val="2"/>
      <b val="1"/>
      <color rgb="FF0070C0"/>
      <sz val="11"/>
      <scheme val="minor"/>
    </font>
    <font>
      <name val="Calibri"/>
      <family val="2"/>
      <b val="1"/>
      <color theme="8" tint="-0.499984740745262"/>
      <sz val="10"/>
      <scheme val="minor"/>
    </font>
    <font>
      <name val="Calibri"/>
      <family val="2"/>
      <color theme="4"/>
      <sz val="12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color theme="0" tint="-0.0499893185216834"/>
      <sz val="12"/>
      <scheme val="minor"/>
    </font>
    <font>
      <name val="Calibri"/>
      <family val="2"/>
      <color theme="4" tint="0.5999938962981048"/>
      <sz val="14"/>
      <scheme val="minor"/>
    </font>
    <font>
      <name val="Calibri"/>
      <family val="2"/>
      <b val="1"/>
      <color rgb="FFFF00FF"/>
      <sz val="12"/>
    </font>
    <font>
      <name val="Calibri"/>
      <family val="2"/>
      <b val="1"/>
      <color rgb="FFFF00FF"/>
      <sz val="12"/>
      <scheme val="minor"/>
    </font>
    <font>
      <name val="Calibri"/>
      <family val="2"/>
      <b val="1"/>
      <color theme="10"/>
      <sz val="12"/>
      <scheme val="minor"/>
    </font>
    <font>
      <name val="Calibri"/>
      <family val="2"/>
      <b val="1"/>
      <color rgb="FFCC00CC"/>
      <sz val="11"/>
      <scheme val="minor"/>
    </font>
    <font>
      <name val="Calibri"/>
      <family val="2"/>
      <color theme="1"/>
      <sz val="11"/>
    </font>
    <font>
      <name val="Calibri"/>
      <family val="2"/>
      <sz val="11"/>
      <scheme val="minor"/>
    </font>
    <font>
      <name val="Calibri"/>
      <family val="2"/>
      <i val="1"/>
      <color theme="1"/>
      <sz val="10"/>
      <scheme val="minor"/>
    </font>
    <font>
      <name val="Calibri"/>
      <family val="2"/>
      <b val="1"/>
      <i val="1"/>
      <color theme="8" tint="-0.249977111117893"/>
      <sz val="11"/>
      <scheme val="minor"/>
    </font>
    <font>
      <name val="Calibri"/>
      <family val="2"/>
      <b val="1"/>
      <i val="1"/>
      <color theme="8" tint="-0.249977111117893"/>
      <sz val="10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rgb="FF00B0F0"/>
      <sz val="18"/>
      <u val="single"/>
      <scheme val="minor"/>
    </font>
    <font>
      <name val="Calibri"/>
      <family val="2"/>
      <color rgb="FF0070C0"/>
      <sz val="11"/>
      <u val="single"/>
      <scheme val="minor"/>
    </font>
    <font>
      <name val="Calibri"/>
      <family val="2"/>
      <b val="1"/>
      <sz val="16"/>
      <scheme val="minor"/>
    </font>
    <font>
      <name val="Calibri"/>
      <family val="2"/>
      <b val="1"/>
      <color theme="4"/>
      <sz val="16"/>
      <scheme val="minor"/>
    </font>
    <font>
      <name val="Calibri"/>
      <family val="2"/>
      <b val="1"/>
      <color theme="5"/>
      <sz val="16"/>
      <scheme val="minor"/>
    </font>
    <font>
      <name val="Calibri"/>
      <family val="2"/>
      <color theme="5"/>
      <sz val="16"/>
      <scheme val="minor"/>
    </font>
    <font>
      <name val="Calibri"/>
      <family val="2"/>
      <b val="1"/>
      <color theme="4"/>
      <sz val="11"/>
      <scheme val="minor"/>
    </font>
    <font>
      <name val="Calibri"/>
      <family val="2"/>
      <b val="1"/>
      <color rgb="FFC00000"/>
      <sz val="16"/>
      <scheme val="minor"/>
    </font>
    <font>
      <name val="Calibri"/>
      <family val="2"/>
      <b val="1"/>
      <color rgb="FFFF00FF"/>
      <sz val="14"/>
      <u val="single"/>
      <scheme val="minor"/>
    </font>
    <font>
      <name val="Calibri"/>
      <family val="2"/>
      <color theme="8" tint="-0.249977111117893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rgb="FFFF0000"/>
      <sz val="11"/>
      <scheme val="minor"/>
    </font>
    <font>
      <name val="Calibri"/>
      <family val="2"/>
      <color rgb="FF0070C0"/>
      <sz val="8"/>
      <scheme val="minor"/>
    </font>
  </fonts>
  <fills count="27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type="linear" degree="90">
        <stop position="0">
          <color theme="2" tint="-0.2509842219306009"/>
        </stop>
        <stop position="1">
          <color theme="2" tint="-0.09802545243690299"/>
        </stop>
      </gradientFill>
    </fill>
    <fill>
      <gradientFill type="linear" degree="270">
        <stop position="0">
          <color theme="2" tint="-0.2509842219306009"/>
        </stop>
        <stop position="1">
          <color theme="2" tint="-0.09802545243690299"/>
        </stop>
      </gradientFill>
    </fill>
    <fill>
      <patternFill patternType="solid">
        <fgColor theme="4" tint="0.7999816888943144"/>
        <bgColor auto="1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 tint="0.7999816888943144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type="linear" degree="270">
        <stop position="0">
          <color theme="7" tint="0.8000122074037904"/>
        </stop>
        <stop position="1">
          <color theme="7" tint="0.5999938962981048"/>
        </stop>
      </gradientFill>
    </fill>
    <fill>
      <patternFill patternType="solid">
        <fgColor theme="4" tint="0.5999938962981048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/>
      <bottom style="hair">
        <color auto="1"/>
      </bottom>
      <diagonal/>
    </border>
  </borders>
  <cellStyleXfs count="4">
    <xf numFmtId="0" fontId="1" fillId="0" borderId="0"/>
    <xf numFmtId="43" fontId="1" fillId="0" borderId="0"/>
    <xf numFmtId="9" fontId="1" fillId="0" borderId="0"/>
    <xf numFmtId="0" fontId="20" fillId="0" borderId="0"/>
  </cellStyleXfs>
  <cellXfs count="386">
    <xf numFmtId="0" fontId="0" fillId="0" borderId="0" pivotButton="0" quotePrefix="0" xfId="0"/>
    <xf numFmtId="0" fontId="2" fillId="0" borderId="0" pivotButton="0" quotePrefix="0" xfId="0"/>
    <xf numFmtId="0" fontId="0" fillId="2" borderId="0" pivotButton="0" quotePrefix="0" xfId="0"/>
    <xf numFmtId="0" fontId="2" fillId="3" borderId="0" pivotButton="0" quotePrefix="0" xfId="0"/>
    <xf numFmtId="0" fontId="0" fillId="3" borderId="0" pivotButton="0" quotePrefix="0" xfId="0"/>
    <xf numFmtId="0" fontId="8" fillId="2" borderId="0" applyAlignment="1" applyProtection="1" pivotButton="0" quotePrefix="0" xfId="0">
      <alignment vertical="center" wrapText="1"/>
      <protection locked="0" hidden="0"/>
    </xf>
    <xf numFmtId="0" fontId="2" fillId="3" borderId="0" applyAlignment="1" pivotButton="0" quotePrefix="0" xfId="0">
      <alignment vertical="top" wrapText="1"/>
    </xf>
    <xf numFmtId="0" fontId="2" fillId="3" borderId="1" applyAlignment="1" pivotButton="0" quotePrefix="0" xfId="0">
      <alignment horizontal="center" vertical="top"/>
    </xf>
    <xf numFmtId="0" fontId="2" fillId="3" borderId="0" applyAlignment="1" pivotButton="0" quotePrefix="0" xfId="0">
      <alignment horizontal="center" vertical="top"/>
    </xf>
    <xf numFmtId="0" fontId="2" fillId="3" borderId="0" applyAlignment="1" pivotButton="0" quotePrefix="0" xfId="0">
      <alignment horizontal="center" vertical="top"/>
    </xf>
    <xf numFmtId="0" fontId="0" fillId="6" borderId="0" applyAlignment="1" pivotButton="0" quotePrefix="0" xfId="0">
      <alignment vertical="top"/>
    </xf>
    <xf numFmtId="0" fontId="0" fillId="6" borderId="0" applyAlignment="1" pivotButton="0" quotePrefix="0" xfId="0">
      <alignment vertical="top"/>
    </xf>
    <xf numFmtId="0" fontId="0" fillId="6" borderId="0" applyAlignment="1" pivotButton="0" quotePrefix="0" xfId="0">
      <alignment vertical="top" wrapText="1"/>
    </xf>
    <xf numFmtId="0" fontId="3" fillId="6" borderId="0" applyAlignment="1" pivotButton="0" quotePrefix="0" xfId="0">
      <alignment vertical="top"/>
    </xf>
    <xf numFmtId="0" fontId="0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 wrapText="1"/>
    </xf>
    <xf numFmtId="0" fontId="0" fillId="6" borderId="0" applyAlignment="1" applyProtection="1" pivotButton="0" quotePrefix="0" xfId="0">
      <alignment vertical="center"/>
      <protection locked="0" hidden="0"/>
    </xf>
    <xf numFmtId="2" fontId="0" fillId="6" borderId="0" applyAlignment="1" pivotButton="0" quotePrefix="0" xfId="0">
      <alignment vertical="top"/>
    </xf>
    <xf numFmtId="0" fontId="0" fillId="6" borderId="0" applyAlignment="1" applyProtection="1" pivotButton="0" quotePrefix="0" xfId="0">
      <alignment vertical="top"/>
      <protection locked="0" hidden="0"/>
    </xf>
    <xf numFmtId="1" fontId="8" fillId="2" borderId="0" applyAlignment="1" pivotButton="0" quotePrefix="0" xfId="0">
      <alignment vertical="center"/>
    </xf>
    <xf numFmtId="1" fontId="4" fillId="6" borderId="0" applyAlignment="1" pivotButton="0" quotePrefix="0" xfId="0">
      <alignment vertical="top"/>
    </xf>
    <xf numFmtId="0" fontId="0" fillId="6" borderId="4" applyAlignment="1" applyProtection="1" pivotButton="0" quotePrefix="0" xfId="0">
      <alignment vertical="top"/>
      <protection locked="0" hidden="0"/>
    </xf>
    <xf numFmtId="0" fontId="0" fillId="6" borderId="4" applyAlignment="1" applyProtection="1" pivotButton="0" quotePrefix="0" xfId="0">
      <alignment vertical="top" wrapText="1"/>
      <protection locked="0" hidden="0"/>
    </xf>
    <xf numFmtId="9" fontId="0" fillId="6" borderId="4" applyAlignment="1" applyProtection="1" pivotButton="0" quotePrefix="0" xfId="0">
      <alignment vertical="top"/>
      <protection locked="0" hidden="0"/>
    </xf>
    <xf numFmtId="2" fontId="0" fillId="6" borderId="4" applyAlignment="1" applyProtection="1" pivotButton="0" quotePrefix="0" xfId="0">
      <alignment vertical="top"/>
      <protection locked="0" hidden="0"/>
    </xf>
    <xf numFmtId="0" fontId="11" fillId="6" borderId="0" applyAlignment="1" pivotButton="0" quotePrefix="0" xfId="0">
      <alignment vertical="top" wrapText="1"/>
    </xf>
    <xf numFmtId="0" fontId="0" fillId="6" borderId="0" applyAlignment="1" applyProtection="1" pivotButton="0" quotePrefix="0" xfId="0">
      <alignment vertical="top" wrapText="1"/>
      <protection locked="0" hidden="0"/>
    </xf>
    <xf numFmtId="0" fontId="0" fillId="4" borderId="0" applyAlignment="1" pivotButton="0" quotePrefix="0" xfId="0">
      <alignment vertical="top"/>
    </xf>
    <xf numFmtId="0" fontId="9" fillId="4" borderId="0" applyAlignment="1" pivotButton="0" quotePrefix="0" xfId="0">
      <alignment vertical="top"/>
    </xf>
    <xf numFmtId="2" fontId="0" fillId="4" borderId="0" applyAlignment="1" pivotButton="0" quotePrefix="0" xfId="0">
      <alignment vertical="top"/>
    </xf>
    <xf numFmtId="0" fontId="0" fillId="4" borderId="0" applyAlignment="1" pivotButton="0" quotePrefix="0" xfId="0">
      <alignment vertical="top" wrapText="1"/>
    </xf>
    <xf numFmtId="0" fontId="0" fillId="2" borderId="0" applyAlignment="1" pivotButton="0" quotePrefix="0" xfId="0">
      <alignment vertical="center"/>
    </xf>
    <xf numFmtId="0" fontId="8" fillId="2" borderId="0" applyAlignment="1" pivotButton="0" quotePrefix="0" xfId="0">
      <alignment vertical="center"/>
    </xf>
    <xf numFmtId="2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 wrapText="1"/>
    </xf>
    <xf numFmtId="0" fontId="0" fillId="6" borderId="4" applyAlignment="1" pivotButton="0" quotePrefix="0" xfId="0">
      <alignment vertical="top" wrapText="1"/>
    </xf>
    <xf numFmtId="0" fontId="0" fillId="6" borderId="8" applyAlignment="1" applyProtection="1" pivotButton="0" quotePrefix="0" xfId="0">
      <alignment vertical="top" wrapText="1"/>
      <protection locked="0" hidden="0"/>
    </xf>
    <xf numFmtId="0" fontId="0" fillId="8" borderId="0" applyAlignment="1" pivotButton="0" quotePrefix="0" xfId="0">
      <alignment vertical="top"/>
    </xf>
    <xf numFmtId="0" fontId="0" fillId="8" borderId="0" applyAlignment="1" pivotButton="0" quotePrefix="0" xfId="0">
      <alignment vertical="top" wrapText="1"/>
    </xf>
    <xf numFmtId="0" fontId="2" fillId="8" borderId="0" applyAlignment="1" pivotButton="0" quotePrefix="0" xfId="0">
      <alignment vertical="top"/>
    </xf>
    <xf numFmtId="9" fontId="14" fillId="8" borderId="2" applyAlignment="1" pivotButton="0" quotePrefix="0" xfId="0">
      <alignment vertical="top"/>
    </xf>
    <xf numFmtId="0" fontId="0" fillId="9" borderId="0" applyAlignment="1" pivotButton="0" quotePrefix="0" xfId="0">
      <alignment vertical="top"/>
    </xf>
    <xf numFmtId="9" fontId="0" fillId="5" borderId="10" applyAlignment="1" applyProtection="1" pivotButton="0" quotePrefix="0" xfId="0">
      <alignment horizontal="right" vertical="top"/>
      <protection locked="0" hidden="0"/>
    </xf>
    <xf numFmtId="0" fontId="0" fillId="5" borderId="10" applyAlignment="1" applyProtection="1" pivotButton="0" quotePrefix="0" xfId="0">
      <alignment horizontal="right" vertical="top"/>
      <protection locked="0" hidden="0"/>
    </xf>
    <xf numFmtId="9" fontId="0" fillId="5" borderId="10" applyAlignment="1" applyProtection="1" pivotButton="0" quotePrefix="0" xfId="0">
      <alignment horizontal="left" vertical="top"/>
      <protection locked="0" hidden="0"/>
    </xf>
    <xf numFmtId="0" fontId="0" fillId="5" borderId="10" applyAlignment="1" applyProtection="1" pivotButton="0" quotePrefix="0" xfId="0">
      <alignment horizontal="left" vertical="top"/>
      <protection locked="0" hidden="0"/>
    </xf>
    <xf numFmtId="0" fontId="2" fillId="8" borderId="0" applyAlignment="1" pivotButton="0" quotePrefix="0" xfId="0">
      <alignment horizontal="center" vertical="top"/>
    </xf>
    <xf numFmtId="0" fontId="2" fillId="8" borderId="17" applyAlignment="1" pivotButton="0" quotePrefix="0" xfId="0">
      <alignment horizontal="center" vertical="top"/>
    </xf>
    <xf numFmtId="0" fontId="0" fillId="8" borderId="1" applyAlignment="1" pivotButton="0" quotePrefix="0" xfId="0">
      <alignment vertical="top"/>
    </xf>
    <xf numFmtId="0" fontId="2" fillId="3" borderId="17" applyAlignment="1" pivotButton="0" quotePrefix="0" xfId="0">
      <alignment horizontal="center" vertical="top"/>
    </xf>
    <xf numFmtId="0" fontId="2" fillId="3" borderId="19" applyAlignment="1" pivotButton="0" quotePrefix="0" xfId="0">
      <alignment horizontal="center" vertical="top"/>
    </xf>
    <xf numFmtId="164" fontId="0" fillId="5" borderId="10" applyAlignment="1" applyProtection="1" pivotButton="0" quotePrefix="0" xfId="0">
      <alignment horizontal="center" vertical="top"/>
      <protection locked="0" hidden="0"/>
    </xf>
    <xf numFmtId="164" fontId="0" fillId="5" borderId="10" applyAlignment="1" applyProtection="1" pivotButton="0" quotePrefix="0" xfId="0">
      <alignment horizontal="left" vertical="top"/>
      <protection locked="0" hidden="0"/>
    </xf>
    <xf numFmtId="0" fontId="6" fillId="10" borderId="0" applyAlignment="1" applyProtection="1" pivotButton="0" quotePrefix="0" xfId="0">
      <alignment vertical="center"/>
      <protection locked="0" hidden="0"/>
    </xf>
    <xf numFmtId="0" fontId="5" fillId="10" borderId="0" applyAlignment="1" applyProtection="1" pivotButton="0" quotePrefix="0" xfId="0">
      <alignment vertical="center" wrapText="1"/>
      <protection locked="0" hidden="0"/>
    </xf>
    <xf numFmtId="0" fontId="5" fillId="10" borderId="0" applyAlignment="1" pivotButton="0" quotePrefix="0" xfId="0">
      <alignment vertical="center" wrapText="1"/>
    </xf>
    <xf numFmtId="0" fontId="5" fillId="10" borderId="0" applyAlignment="1" pivotButton="0" quotePrefix="0" xfId="0">
      <alignment vertical="center"/>
    </xf>
    <xf numFmtId="0" fontId="0" fillId="4" borderId="0" applyAlignment="1" pivotButton="0" quotePrefix="0" xfId="0">
      <alignment vertical="top"/>
    </xf>
    <xf numFmtId="0" fontId="0" fillId="6" borderId="0" applyAlignment="1" pivotButton="0" quotePrefix="0" xfId="0">
      <alignment vertical="top" wrapText="1"/>
    </xf>
    <xf numFmtId="0" fontId="0" fillId="10" borderId="0" applyAlignment="1" pivotButton="0" quotePrefix="0" xfId="0">
      <alignment vertical="top"/>
    </xf>
    <xf numFmtId="0" fontId="0" fillId="10" borderId="0" applyAlignment="1" pivotButton="0" quotePrefix="0" xfId="0">
      <alignment vertical="top" wrapText="1"/>
    </xf>
    <xf numFmtId="0" fontId="0" fillId="4" borderId="0" applyAlignment="1" applyProtection="1" pivotButton="0" quotePrefix="0" xfId="0">
      <alignment vertical="top"/>
      <protection locked="0" hidden="0"/>
    </xf>
    <xf numFmtId="0" fontId="0" fillId="4" borderId="0" applyAlignment="1" applyProtection="1" pivotButton="0" quotePrefix="0" xfId="0">
      <alignment vertical="top" wrapText="1"/>
      <protection locked="0" hidden="0"/>
    </xf>
    <xf numFmtId="1" fontId="0" fillId="4" borderId="13" applyAlignment="1" pivotButton="0" quotePrefix="0" xfId="0">
      <alignment vertical="top"/>
    </xf>
    <xf numFmtId="1" fontId="18" fillId="4" borderId="0" applyAlignment="1" pivotButton="0" quotePrefix="0" xfId="0">
      <alignment vertical="top"/>
    </xf>
    <xf numFmtId="0" fontId="9" fillId="4" borderId="0" applyAlignment="1" applyProtection="1" pivotButton="0" quotePrefix="0" xfId="0">
      <alignment vertical="top"/>
      <protection locked="0" hidden="0"/>
    </xf>
    <xf numFmtId="0" fontId="0" fillId="4" borderId="0" applyAlignment="1" applyProtection="1" pivotButton="0" quotePrefix="0" xfId="0">
      <alignment vertical="top"/>
      <protection locked="0" hidden="0"/>
    </xf>
    <xf numFmtId="9" fontId="14" fillId="8" borderId="0" applyAlignment="1" pivotButton="0" quotePrefix="0" xfId="0">
      <alignment vertical="top"/>
    </xf>
    <xf numFmtId="0" fontId="2" fillId="2" borderId="0" applyAlignment="1" pivotButton="0" quotePrefix="0" xfId="0">
      <alignment horizontal="right"/>
    </xf>
    <xf numFmtId="0" fontId="2" fillId="2" borderId="0" applyAlignment="1" pivotButton="0" quotePrefix="0" xfId="0">
      <alignment horizontal="right" vertical="center"/>
    </xf>
    <xf numFmtId="165" fontId="27" fillId="2" borderId="20" applyAlignment="1" pivotButton="0" quotePrefix="0" xfId="0">
      <alignment horizontal="center" textRotation="90"/>
    </xf>
    <xf numFmtId="165" fontId="27" fillId="2" borderId="3" applyAlignment="1" pivotButton="0" quotePrefix="0" xfId="0">
      <alignment horizontal="center" textRotation="90"/>
    </xf>
    <xf numFmtId="165" fontId="27" fillId="2" borderId="21" applyAlignment="1" pivotButton="0" quotePrefix="0" xfId="0">
      <alignment horizontal="center" textRotation="90"/>
    </xf>
    <xf numFmtId="0" fontId="0" fillId="4" borderId="0" applyAlignment="1" pivotButton="0" quotePrefix="0" xfId="0">
      <alignment horizontal="right" vertical="top"/>
    </xf>
    <xf numFmtId="0" fontId="20" fillId="4" borderId="0" applyAlignment="1" pivotButton="0" quotePrefix="0" xfId="3">
      <alignment vertical="top" wrapText="1"/>
    </xf>
    <xf numFmtId="0" fontId="0" fillId="3" borderId="0" applyAlignment="1" pivotButton="0" quotePrefix="0" xfId="0">
      <alignment vertical="top" wrapText="1"/>
    </xf>
    <xf numFmtId="0" fontId="15" fillId="7" borderId="0" applyAlignment="1" pivotButton="0" quotePrefix="0" xfId="0">
      <alignment horizontal="center" vertical="top"/>
    </xf>
    <xf numFmtId="0" fontId="15" fillId="7" borderId="0" applyAlignment="1" pivotButton="0" quotePrefix="0" xfId="0">
      <alignment horizontal="center" vertical="center"/>
    </xf>
    <xf numFmtId="0" fontId="0" fillId="6" borderId="0" applyAlignment="1" pivotButton="0" quotePrefix="0" xfId="0">
      <alignment horizontal="center" vertical="top"/>
    </xf>
    <xf numFmtId="0" fontId="27" fillId="7" borderId="0" applyAlignment="1" pivotButton="0" quotePrefix="0" xfId="0">
      <alignment horizontal="center" vertical="center"/>
    </xf>
    <xf numFmtId="0" fontId="27" fillId="7" borderId="0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9" fillId="7" borderId="0" applyAlignment="1" pivotButton="0" quotePrefix="0" xfId="0">
      <alignment horizontal="center" vertical="center"/>
    </xf>
    <xf numFmtId="0" fontId="29" fillId="7" borderId="0" applyAlignment="1" pivotButton="0" quotePrefix="0" xfId="0">
      <alignment horizontal="center" vertical="top"/>
    </xf>
    <xf numFmtId="0" fontId="28" fillId="7" borderId="0" applyAlignment="1" pivotButton="0" quotePrefix="0" xfId="0">
      <alignment horizontal="center" vertical="top"/>
    </xf>
    <xf numFmtId="0" fontId="8" fillId="13" borderId="0" applyAlignment="1" applyProtection="1" pivotButton="0" quotePrefix="0" xfId="0">
      <alignment vertical="center" wrapText="1"/>
      <protection locked="0" hidden="0"/>
    </xf>
    <xf numFmtId="0" fontId="8" fillId="13" borderId="0" applyAlignment="1" pivotButton="0" quotePrefix="0" xfId="0">
      <alignment vertical="center"/>
    </xf>
    <xf numFmtId="2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 wrapText="1"/>
    </xf>
    <xf numFmtId="1" fontId="30" fillId="13" borderId="0" applyAlignment="1" applyProtection="1" pivotButton="0" quotePrefix="0" xfId="0">
      <alignment vertical="center"/>
      <protection locked="0" hidden="0"/>
    </xf>
    <xf numFmtId="0" fontId="31" fillId="11" borderId="0" applyAlignment="1" pivotButton="0" quotePrefix="0" xfId="0">
      <alignment horizontal="center" vertical="top" textRotation="90"/>
    </xf>
    <xf numFmtId="0" fontId="31" fillId="11" borderId="0" applyAlignment="1" pivotButton="0" quotePrefix="0" xfId="0">
      <alignment horizontal="center" vertical="top" textRotation="90"/>
    </xf>
    <xf numFmtId="0" fontId="0" fillId="14" borderId="0" applyAlignment="1" pivotButton="0" quotePrefix="0" xfId="0">
      <alignment vertical="top"/>
    </xf>
    <xf numFmtId="0" fontId="12" fillId="14" borderId="0" applyAlignment="1" pivotButton="0" quotePrefix="0" xfId="0">
      <alignment vertical="top"/>
    </xf>
    <xf numFmtId="0" fontId="24" fillId="14" borderId="0" applyAlignment="1" pivotButton="0" quotePrefix="0" xfId="0">
      <alignment vertical="center"/>
    </xf>
    <xf numFmtId="166" fontId="23" fillId="14" borderId="0" applyAlignment="1" pivotButton="0" quotePrefix="0" xfId="1">
      <alignment horizontal="left" vertical="center"/>
    </xf>
    <xf numFmtId="0" fontId="0" fillId="16" borderId="0" pivotButton="0" quotePrefix="0" xfId="0"/>
    <xf numFmtId="0" fontId="0" fillId="4" borderId="0" applyAlignment="1" applyProtection="1" pivotButton="0" quotePrefix="0" xfId="0">
      <alignment vertical="top" wrapText="1"/>
      <protection locked="0" hidden="0"/>
    </xf>
    <xf numFmtId="164" fontId="0" fillId="5" borderId="10" applyAlignment="1" applyProtection="1" pivotButton="0" quotePrefix="0" xfId="0">
      <alignment horizontal="right" vertical="top"/>
      <protection locked="0" hidden="0"/>
    </xf>
    <xf numFmtId="0" fontId="22" fillId="4" borderId="0" applyAlignment="1" pivotButton="0" quotePrefix="0" xfId="0">
      <alignment vertical="top"/>
    </xf>
    <xf numFmtId="0" fontId="0" fillId="4" borderId="0" applyAlignment="1" pivotButton="0" quotePrefix="0" xfId="0">
      <alignment vertical="top" wrapText="1"/>
    </xf>
    <xf numFmtId="164" fontId="0" fillId="4" borderId="13" applyAlignment="1" pivotButton="0" quotePrefix="0" xfId="0">
      <alignment vertical="top"/>
    </xf>
    <xf numFmtId="9" fontId="0" fillId="14" borderId="10" applyAlignment="1" applyProtection="1" pivotButton="0" quotePrefix="0" xfId="0">
      <alignment horizontal="right" vertical="top"/>
      <protection locked="0" hidden="0"/>
    </xf>
    <xf numFmtId="164" fontId="0" fillId="14" borderId="10" applyAlignment="1" applyProtection="1" pivotButton="0" quotePrefix="0" xfId="0">
      <alignment horizontal="right" vertical="top"/>
      <protection locked="0" hidden="0"/>
    </xf>
    <xf numFmtId="0" fontId="2" fillId="4" borderId="15" applyAlignment="1" pivotButton="0" quotePrefix="0" xfId="0">
      <alignment horizontal="right" vertical="top" wrapText="1"/>
    </xf>
    <xf numFmtId="0" fontId="2" fillId="4" borderId="22" applyAlignment="1" pivotButton="0" quotePrefix="0" xfId="0">
      <alignment horizontal="right" vertical="top"/>
    </xf>
    <xf numFmtId="15" fontId="0" fillId="4" borderId="10" applyAlignment="1" pivotButton="0" quotePrefix="0" xfId="0">
      <alignment vertical="top" wrapText="1"/>
    </xf>
    <xf numFmtId="15" fontId="0" fillId="4" borderId="13" applyAlignment="1" pivotButton="0" quotePrefix="0" xfId="0">
      <alignment vertical="top" wrapText="1"/>
    </xf>
    <xf numFmtId="15" fontId="0" fillId="4" borderId="18" applyAlignment="1" pivotButton="0" quotePrefix="0" xfId="0">
      <alignment vertical="top" wrapText="1"/>
    </xf>
    <xf numFmtId="15" fontId="2" fillId="5" borderId="13" applyAlignment="1" applyProtection="1" pivotButton="0" quotePrefix="0" xfId="0">
      <alignment vertical="top" wrapText="1"/>
      <protection locked="0" hidden="0"/>
    </xf>
    <xf numFmtId="0" fontId="18" fillId="4" borderId="0" applyAlignment="1" pivotButton="0" quotePrefix="0" xfId="0">
      <alignment horizontal="right" vertical="top"/>
    </xf>
    <xf numFmtId="0" fontId="18" fillId="4" borderId="0" applyAlignment="1" pivotButton="0" quotePrefix="0" xfId="0">
      <alignment vertical="top"/>
    </xf>
    <xf numFmtId="0" fontId="36" fillId="19" borderId="0" applyAlignment="1" pivotButton="0" quotePrefix="0" xfId="0">
      <alignment horizontal="right" vertical="top"/>
    </xf>
    <xf numFmtId="0" fontId="36" fillId="19" borderId="0" applyAlignment="1" pivotButton="0" quotePrefix="0" xfId="0">
      <alignment vertical="top"/>
    </xf>
    <xf numFmtId="0" fontId="36" fillId="19" borderId="0" applyAlignment="1" pivotButton="0" quotePrefix="0" xfId="0">
      <alignment horizontal="right" vertical="center"/>
    </xf>
    <xf numFmtId="15" fontId="2" fillId="4" borderId="12" applyAlignment="1" pivotButton="0" quotePrefix="0" xfId="0">
      <alignment vertical="top" wrapText="1"/>
    </xf>
    <xf numFmtId="164" fontId="0" fillId="5" borderId="12" applyAlignment="1" applyProtection="1" pivotButton="0" quotePrefix="0" xfId="0">
      <alignment horizontal="right" vertical="top"/>
      <protection locked="0" hidden="0"/>
    </xf>
    <xf numFmtId="164" fontId="0" fillId="14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0">
      <alignment horizontal="left" vertical="top"/>
      <protection locked="0" hidden="0"/>
    </xf>
    <xf numFmtId="0" fontId="17" fillId="19" borderId="0" applyAlignment="1" pivotButton="0" quotePrefix="0" xfId="0">
      <alignment vertical="top"/>
    </xf>
    <xf numFmtId="0" fontId="37" fillId="19" borderId="0" applyAlignment="1" pivotButton="0" quotePrefix="0" xfId="0">
      <alignment vertical="top"/>
    </xf>
    <xf numFmtId="1" fontId="38" fillId="19" borderId="0" applyAlignment="1" pivotButton="0" quotePrefix="0" xfId="0">
      <alignment vertical="top"/>
    </xf>
    <xf numFmtId="0" fontId="0" fillId="2" borderId="0" applyAlignment="1" pivotButton="0" quotePrefix="0" xfId="0">
      <alignment horizontal="right"/>
    </xf>
    <xf numFmtId="0" fontId="0" fillId="11" borderId="0" pivotButton="0" quotePrefix="0" xfId="0"/>
    <xf numFmtId="0" fontId="2" fillId="11" borderId="0" applyAlignment="1" pivotButton="0" quotePrefix="0" xfId="0">
      <alignment horizontal="right"/>
    </xf>
    <xf numFmtId="164" fontId="0" fillId="0" borderId="0" pivotButton="0" quotePrefix="0" xfId="0"/>
    <xf numFmtId="0" fontId="0" fillId="20" borderId="0" pivotButton="0" quotePrefix="0" xfId="0"/>
    <xf numFmtId="0" fontId="0" fillId="18" borderId="0" pivotButton="0" quotePrefix="0" xfId="0"/>
    <xf numFmtId="0" fontId="0" fillId="21" borderId="0" pivotButton="0" quotePrefix="0" xfId="0"/>
    <xf numFmtId="0" fontId="0" fillId="17" borderId="0" pivotButton="0" quotePrefix="0" xfId="0"/>
    <xf numFmtId="0" fontId="0" fillId="22" borderId="0" pivotButton="0" quotePrefix="0" xfId="0"/>
    <xf numFmtId="0" fontId="40" fillId="0" borderId="0" applyAlignment="1" pivotButton="0" quotePrefix="0" xfId="0">
      <alignment vertical="top" wrapText="1"/>
    </xf>
    <xf numFmtId="0" fontId="41" fillId="0" borderId="0" applyAlignment="1" pivotButton="0" quotePrefix="0" xfId="0">
      <alignment horizontal="right"/>
    </xf>
    <xf numFmtId="0" fontId="39" fillId="0" borderId="0" applyAlignment="1" pivotButton="0" quotePrefix="0" xfId="0">
      <alignment vertical="top"/>
    </xf>
    <xf numFmtId="1" fontId="0" fillId="6" borderId="4" applyAlignment="1" applyProtection="1" pivotButton="0" quotePrefix="0" xfId="0">
      <alignment vertical="top"/>
      <protection locked="0" hidden="0"/>
    </xf>
    <xf numFmtId="0" fontId="17" fillId="8" borderId="0" applyAlignment="1" pivotButton="0" quotePrefix="0" xfId="0">
      <alignment vertical="top"/>
    </xf>
    <xf numFmtId="0" fontId="0" fillId="4" borderId="0" applyAlignment="1" pivotButton="0" quotePrefix="0" xfId="0">
      <alignment horizontal="right" vertical="top" wrapText="1"/>
    </xf>
    <xf numFmtId="0" fontId="0" fillId="5" borderId="0" applyAlignment="1" applyProtection="1" pivotButton="0" quotePrefix="0" xfId="0">
      <alignment horizontal="right" vertical="top" wrapText="1"/>
      <protection locked="0" hidden="0"/>
    </xf>
    <xf numFmtId="0" fontId="43" fillId="4" borderId="0" applyAlignment="1" pivotButton="0" quotePrefix="0" xfId="0">
      <alignment vertical="top"/>
    </xf>
    <xf numFmtId="0" fontId="42" fillId="4" borderId="0" applyAlignment="1" pivotButton="0" quotePrefix="0" xfId="0">
      <alignment horizontal="right" vertical="top" wrapText="1"/>
    </xf>
    <xf numFmtId="166" fontId="45" fillId="14" borderId="0" applyAlignment="1" pivotButton="0" quotePrefix="0" xfId="1">
      <alignment horizontal="left" vertical="center"/>
    </xf>
    <xf numFmtId="1" fontId="0" fillId="6" borderId="4" applyAlignment="1" applyProtection="1" pivotButton="0" quotePrefix="0" xfId="2">
      <alignment vertical="top"/>
      <protection locked="0" hidden="0"/>
    </xf>
    <xf numFmtId="0" fontId="33" fillId="9" borderId="0" applyAlignment="1" pivotButton="0" quotePrefix="0" xfId="0">
      <alignment horizontal="right" vertical="center"/>
    </xf>
    <xf numFmtId="0" fontId="33" fillId="9" borderId="0" applyAlignment="1" pivotButton="0" quotePrefix="0" xfId="0">
      <alignment vertical="center"/>
    </xf>
    <xf numFmtId="0" fontId="0" fillId="23" borderId="0" applyAlignment="1" pivotButton="0" quotePrefix="0" xfId="0">
      <alignment vertical="top"/>
    </xf>
    <xf numFmtId="0" fontId="12" fillId="23" borderId="0" applyAlignment="1" pivotButton="0" quotePrefix="0" xfId="0">
      <alignment vertical="top"/>
    </xf>
    <xf numFmtId="0" fontId="13" fillId="15" borderId="0" applyAlignment="1" pivotButton="0" quotePrefix="0" xfId="0">
      <alignment vertical="center"/>
    </xf>
    <xf numFmtId="0" fontId="50" fillId="14" borderId="4" applyAlignment="1" pivotButton="0" quotePrefix="0" xfId="0">
      <alignment horizontal="right" vertical="center"/>
    </xf>
    <xf numFmtId="9" fontId="0" fillId="5" borderId="0" applyAlignment="1" applyProtection="1" pivotButton="0" quotePrefix="0" xfId="2">
      <alignment vertical="center"/>
      <protection locked="0" hidden="0"/>
    </xf>
    <xf numFmtId="9" fontId="0" fillId="5" borderId="16" applyAlignment="1" applyProtection="1" pivotButton="0" quotePrefix="0" xfId="2">
      <alignment vertical="center"/>
      <protection locked="0" hidden="0"/>
    </xf>
    <xf numFmtId="0" fontId="33" fillId="9" borderId="0" applyAlignment="1" pivotButton="0" quotePrefix="0" xfId="3">
      <alignment horizontal="right" vertical="top"/>
    </xf>
    <xf numFmtId="0" fontId="33" fillId="9" borderId="0" applyAlignment="1" pivotButton="0" quotePrefix="0" xfId="0">
      <alignment horizontal="left" vertical="top" indent="1"/>
    </xf>
    <xf numFmtId="0" fontId="0" fillId="5" borderId="0" applyProtection="1" pivotButton="0" quotePrefix="0" xfId="0">
      <protection locked="0" hidden="0"/>
    </xf>
    <xf numFmtId="0" fontId="0" fillId="5" borderId="0" applyProtection="1" pivotButton="0" quotePrefix="0" xfId="0">
      <protection locked="0" hidden="0"/>
    </xf>
    <xf numFmtId="0" fontId="2" fillId="4" borderId="0" applyAlignment="1" pivotButton="0" quotePrefix="0" xfId="0">
      <alignment horizontal="right"/>
    </xf>
    <xf numFmtId="0" fontId="0" fillId="4" borderId="0" applyAlignment="1" pivotButton="0" quotePrefix="0" xfId="0">
      <alignment horizontal="right"/>
    </xf>
    <xf numFmtId="0" fontId="0" fillId="4" borderId="0" applyAlignment="1" pivotButton="0" quotePrefix="0" xfId="0">
      <alignment horizontal="right"/>
    </xf>
    <xf numFmtId="0" fontId="21" fillId="4" borderId="0" applyAlignment="1" pivotButton="0" quotePrefix="0" xfId="0">
      <alignment horizontal="left" vertical="top"/>
    </xf>
    <xf numFmtId="0" fontId="42" fillId="4" borderId="0" applyAlignment="1" pivotButton="0" quotePrefix="0" xfId="0">
      <alignment horizontal="right" vertical="top"/>
    </xf>
    <xf numFmtId="0" fontId="42" fillId="4" borderId="0" applyAlignment="1" pivotButton="0" quotePrefix="0" xfId="0">
      <alignment horizontal="left" vertical="top"/>
    </xf>
    <xf numFmtId="9" fontId="0" fillId="2" borderId="14" applyAlignment="1" pivotButton="0" quotePrefix="0" xfId="2">
      <alignment horizontal="left"/>
    </xf>
    <xf numFmtId="9" fontId="0" fillId="5" borderId="0" applyProtection="1" pivotButton="0" quotePrefix="0" xfId="0">
      <protection locked="0" hidden="0"/>
    </xf>
    <xf numFmtId="0" fontId="51" fillId="4" borderId="0" applyAlignment="1" pivotButton="0" quotePrefix="0" xfId="0">
      <alignment horizontal="right"/>
    </xf>
    <xf numFmtId="0" fontId="0" fillId="9" borderId="1" applyAlignment="1" pivotButton="0" quotePrefix="0" xfId="0">
      <alignment vertical="top"/>
    </xf>
    <xf numFmtId="43" fontId="8" fillId="2" borderId="0" applyAlignment="1" pivotButton="0" quotePrefix="0" xfId="1">
      <alignment vertical="center"/>
    </xf>
    <xf numFmtId="43" fontId="0" fillId="6" borderId="4" applyAlignment="1" applyProtection="1" pivotButton="0" quotePrefix="0" xfId="1">
      <alignment vertical="top"/>
      <protection locked="0" hidden="0"/>
    </xf>
    <xf numFmtId="43" fontId="0" fillId="12" borderId="4" applyAlignment="1" pivotButton="0" quotePrefix="0" xfId="1">
      <alignment vertical="top"/>
    </xf>
    <xf numFmtId="2" fontId="0" fillId="2" borderId="4" applyAlignment="1" pivotButton="0" quotePrefix="0" xfId="0">
      <alignment vertical="top"/>
    </xf>
    <xf numFmtId="0" fontId="54" fillId="0" borderId="0" applyAlignment="1" pivotButton="0" quotePrefix="0" xfId="0">
      <alignment vertical="top"/>
    </xf>
    <xf numFmtId="0" fontId="0" fillId="0" borderId="0" applyAlignment="1" pivotButton="0" quotePrefix="0" xfId="0">
      <alignment vertical="top"/>
    </xf>
    <xf numFmtId="0" fontId="8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 wrapText="1"/>
    </xf>
    <xf numFmtId="1" fontId="55" fillId="2" borderId="0" applyAlignment="1" pivotButton="0" quotePrefix="0" xfId="0">
      <alignment vertical="center"/>
    </xf>
    <xf numFmtId="0" fontId="55" fillId="2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top"/>
    </xf>
    <xf numFmtId="0" fontId="2" fillId="9" borderId="0" applyAlignment="1" pivotButton="0" quotePrefix="0" xfId="0">
      <alignment horizontal="center" vertical="center"/>
    </xf>
    <xf numFmtId="0" fontId="49" fillId="14" borderId="4" applyAlignment="1" applyProtection="1" pivotButton="0" quotePrefix="0" xfId="0">
      <alignment vertical="center"/>
      <protection locked="0" hidden="0"/>
    </xf>
    <xf numFmtId="0" fontId="49" fillId="14" borderId="15" applyAlignment="1" pivotButton="0" quotePrefix="0" xfId="0">
      <alignment vertical="center"/>
    </xf>
    <xf numFmtId="166" fontId="56" fillId="4" borderId="0" applyAlignment="1" pivotButton="0" quotePrefix="0" xfId="1">
      <alignment vertical="center"/>
    </xf>
    <xf numFmtId="0" fontId="2" fillId="3" borderId="0" applyAlignment="1" pivotButton="0" quotePrefix="0" xfId="0">
      <alignment horizontal="center" vertical="top"/>
    </xf>
    <xf numFmtId="0" fontId="2" fillId="8" borderId="0" applyAlignment="1" pivotButton="0" quotePrefix="0" xfId="0">
      <alignment horizontal="center" vertical="top"/>
    </xf>
    <xf numFmtId="0" fontId="2" fillId="8" borderId="19" applyAlignment="1" pivotButton="0" quotePrefix="0" xfId="0">
      <alignment horizontal="center" vertical="top"/>
    </xf>
    <xf numFmtId="0" fontId="0" fillId="13" borderId="0" applyAlignment="1" pivotButton="0" quotePrefix="0" xfId="0">
      <alignment vertical="center"/>
    </xf>
    <xf numFmtId="0" fontId="44" fillId="4" borderId="0" applyAlignment="1" pivotButton="0" quotePrefix="0" xfId="0">
      <alignment wrapText="1"/>
    </xf>
    <xf numFmtId="0" fontId="0" fillId="5" borderId="0" applyAlignment="1" applyProtection="1" pivotButton="0" quotePrefix="0" xfId="0">
      <alignment vertical="top"/>
      <protection locked="0" hidden="0"/>
    </xf>
    <xf numFmtId="0" fontId="0" fillId="5" borderId="0" applyProtection="1" pivotButton="0" quotePrefix="0" xfId="0">
      <protection locked="0" hidden="0"/>
    </xf>
    <xf numFmtId="0" fontId="0" fillId="5" borderId="0" applyAlignment="1" applyProtection="1" pivotButton="0" quotePrefix="0" xfId="0">
      <alignment vertical="top"/>
      <protection locked="0" hidden="0"/>
    </xf>
    <xf numFmtId="0" fontId="2" fillId="3" borderId="0" applyAlignment="1" applyProtection="1" pivotButton="0" quotePrefix="0" xfId="0">
      <alignment vertical="top" wrapText="1"/>
      <protection locked="0" hidden="0"/>
    </xf>
    <xf numFmtId="0" fontId="2" fillId="8" borderId="0" applyAlignment="1" pivotButton="0" quotePrefix="0" xfId="0">
      <alignment horizontal="center" vertical="top" wrapText="1"/>
    </xf>
    <xf numFmtId="0" fontId="2" fillId="3" borderId="0" applyAlignment="1" pivotButton="0" quotePrefix="0" xfId="0">
      <alignment horizontal="center" vertical="top" wrapText="1"/>
    </xf>
    <xf numFmtId="0" fontId="50" fillId="14" borderId="9" applyAlignment="1" pivotButton="0" quotePrefix="0" xfId="0">
      <alignment horizontal="right" vertical="center"/>
    </xf>
    <xf numFmtId="0" fontId="49" fillId="14" borderId="9" applyAlignment="1" applyProtection="1" pivotButton="0" quotePrefix="0" xfId="0">
      <alignment vertical="center"/>
      <protection locked="0" hidden="0"/>
    </xf>
    <xf numFmtId="9" fontId="47" fillId="14" borderId="18" applyAlignment="1" applyProtection="1" pivotButton="0" quotePrefix="0" xfId="0">
      <alignment horizontal="center" vertical="center"/>
      <protection locked="0" hidden="0"/>
    </xf>
    <xf numFmtId="0" fontId="13" fillId="15" borderId="0" applyAlignment="1" pivotButton="0" quotePrefix="0" xfId="0">
      <alignment vertical="center"/>
    </xf>
    <xf numFmtId="0" fontId="48" fillId="14" borderId="0" applyAlignment="1" pivotButton="0" quotePrefix="0" xfId="0">
      <alignment horizontal="right" vertical="center"/>
    </xf>
    <xf numFmtId="0" fontId="0" fillId="14" borderId="4" applyAlignment="1" pivotButton="0" quotePrefix="0" xfId="0">
      <alignment vertical="top"/>
    </xf>
    <xf numFmtId="0" fontId="25" fillId="14" borderId="4" applyAlignment="1" pivotButton="0" quotePrefix="0" xfId="0">
      <alignment vertical="center"/>
    </xf>
    <xf numFmtId="0" fontId="2" fillId="9" borderId="0" applyAlignment="1" pivotButton="0" quotePrefix="0" xfId="0">
      <alignment horizontal="center" vertical="center"/>
    </xf>
    <xf numFmtId="0" fontId="57" fillId="4" borderId="0" applyAlignment="1" pivotButton="0" quotePrefix="0" xfId="3">
      <alignment horizontal="center" vertical="top"/>
    </xf>
    <xf numFmtId="0" fontId="15" fillId="4" borderId="0" applyAlignment="1" pivotButton="0" quotePrefix="0" xfId="0">
      <alignment horizontal="center" vertical="top"/>
    </xf>
    <xf numFmtId="0" fontId="2" fillId="24" borderId="0" applyAlignment="1" pivotButton="0" quotePrefix="0" xfId="0">
      <alignment vertical="top" wrapText="1"/>
    </xf>
    <xf numFmtId="0" fontId="0" fillId="24" borderId="0" applyAlignment="1" pivotButton="0" quotePrefix="0" xfId="0">
      <alignment vertical="top" wrapText="1"/>
    </xf>
    <xf numFmtId="166" fontId="2" fillId="24" borderId="0" applyAlignment="1" pivotButton="0" quotePrefix="0" xfId="1">
      <alignment vertical="top"/>
    </xf>
    <xf numFmtId="0" fontId="2" fillId="24" borderId="0" applyAlignment="1" pivotButton="0" quotePrefix="0" xfId="0">
      <alignment horizontal="right" vertical="top"/>
    </xf>
    <xf numFmtId="0" fontId="2" fillId="24" borderId="0" applyAlignment="1" pivotButton="0" quotePrefix="0" xfId="0">
      <alignment horizontal="right" vertical="top" wrapText="1"/>
    </xf>
    <xf numFmtId="0" fontId="60" fillId="9" borderId="0" applyAlignment="1" pivotButton="0" quotePrefix="0" xfId="3">
      <alignment horizontal="center" vertical="top"/>
    </xf>
    <xf numFmtId="0" fontId="61" fillId="0" borderId="0" applyAlignment="1" pivotButton="0" quotePrefix="0" xfId="0">
      <alignment horizontal="right" vertical="top"/>
    </xf>
    <xf numFmtId="0" fontId="32" fillId="14" borderId="0" applyAlignment="1" pivotButton="0" quotePrefix="0" xfId="0">
      <alignment horizontal="right" vertical="center"/>
    </xf>
    <xf numFmtId="0" fontId="25" fillId="14" borderId="0" applyAlignment="1" pivotButton="0" quotePrefix="0" xfId="0">
      <alignment horizontal="right" vertical="center"/>
    </xf>
    <xf numFmtId="0" fontId="62" fillId="25" borderId="0" applyAlignment="1" applyProtection="1" pivotButton="0" quotePrefix="0" xfId="0">
      <alignment vertical="center"/>
      <protection locked="0" hidden="0"/>
    </xf>
    <xf numFmtId="0" fontId="21" fillId="25" borderId="0" applyAlignment="1" applyProtection="1" pivotButton="0" quotePrefix="0" xfId="0">
      <alignment vertical="top"/>
      <protection locked="0" hidden="0"/>
    </xf>
    <xf numFmtId="0" fontId="0" fillId="25" borderId="0" applyAlignment="1" applyProtection="1" pivotButton="0" quotePrefix="0" xfId="0">
      <alignment vertical="top"/>
      <protection locked="0" hidden="0"/>
    </xf>
    <xf numFmtId="0" fontId="5" fillId="10" borderId="16" applyAlignment="1" applyProtection="1" pivotButton="0" quotePrefix="0" xfId="0">
      <alignment vertical="center" wrapText="1"/>
      <protection locked="0" hidden="0"/>
    </xf>
    <xf numFmtId="0" fontId="0" fillId="0" borderId="0" applyAlignment="1" pivotButton="0" quotePrefix="0" xfId="0">
      <alignment horizontal="right" vertical="top"/>
    </xf>
    <xf numFmtId="0" fontId="66" fillId="0" borderId="0" applyAlignment="1" pivotButton="0" quotePrefix="0" xfId="0">
      <alignment horizontal="right" vertical="center"/>
    </xf>
    <xf numFmtId="0" fontId="2" fillId="14" borderId="0" applyAlignment="1" pivotButton="0" quotePrefix="0" xfId="0">
      <alignment horizontal="right" vertical="top"/>
    </xf>
    <xf numFmtId="0" fontId="0" fillId="8" borderId="0" applyAlignment="1" pivotButton="0" quotePrefix="0" xfId="0">
      <alignment horizontal="right" vertical="center"/>
    </xf>
    <xf numFmtId="0" fontId="2" fillId="0" borderId="0" applyAlignment="1" pivotButton="0" quotePrefix="0" xfId="0">
      <alignment horizontal="right"/>
    </xf>
    <xf numFmtId="9" fontId="14" fillId="8" borderId="17" applyAlignment="1" pivotButton="0" quotePrefix="0" xfId="0">
      <alignment vertical="top"/>
    </xf>
    <xf numFmtId="0" fontId="0" fillId="4" borderId="0" applyAlignment="1" applyProtection="1" pivotButton="0" quotePrefix="0" xfId="0">
      <alignment vertical="top"/>
      <protection locked="0" hidden="0"/>
    </xf>
    <xf numFmtId="164" fontId="0" fillId="5" borderId="10" applyAlignment="1" applyProtection="1" pivotButton="0" quotePrefix="0" xfId="2">
      <alignment horizontal="right" vertical="top"/>
      <protection locked="0" hidden="0"/>
    </xf>
    <xf numFmtId="164" fontId="0" fillId="14" borderId="10" applyAlignment="1" applyProtection="1" pivotButton="0" quotePrefix="0" xfId="2">
      <alignment horizontal="right" vertical="top"/>
      <protection locked="0" hidden="0"/>
    </xf>
    <xf numFmtId="164" fontId="0" fillId="5" borderId="12" applyAlignment="1" applyProtection="1" pivotButton="0" quotePrefix="0" xfId="2">
      <alignment horizontal="right" vertical="top"/>
      <protection locked="0" hidden="0"/>
    </xf>
    <xf numFmtId="0" fontId="69" fillId="0" borderId="0" pivotButton="0" quotePrefix="0" xfId="0"/>
    <xf numFmtId="0" fontId="70" fillId="0" borderId="0" pivotButton="0" quotePrefix="0" xfId="0"/>
    <xf numFmtId="0" fontId="71" fillId="0" borderId="0" pivotButton="0" quotePrefix="0" xfId="0"/>
    <xf numFmtId="0" fontId="72" fillId="0" borderId="0" pivotButton="0" quotePrefix="0" xfId="0"/>
    <xf numFmtId="0" fontId="74" fillId="0" borderId="0" pivotButton="0" quotePrefix="0" xfId="0"/>
    <xf numFmtId="0" fontId="43" fillId="0" borderId="0" pivotButton="0" quotePrefix="0" xfId="0"/>
    <xf numFmtId="0" fontId="0" fillId="0" borderId="0" pivotButton="0" quotePrefix="0" xfId="0"/>
    <xf numFmtId="0" fontId="75" fillId="0" borderId="0" pivotButton="0" quotePrefix="0" xfId="0"/>
    <xf numFmtId="0" fontId="21" fillId="0" borderId="0" applyAlignment="1" pivotButton="0" quotePrefix="0" xfId="0">
      <alignment vertical="top" wrapText="1"/>
    </xf>
    <xf numFmtId="0" fontId="21" fillId="0" borderId="0" applyAlignment="1" pivotButton="0" quotePrefix="0" xfId="0">
      <alignment vertical="top"/>
    </xf>
    <xf numFmtId="0" fontId="67" fillId="0" borderId="0" applyAlignment="1" pivotButton="0" quotePrefix="0" xfId="0">
      <alignment horizontal="center" vertical="top"/>
    </xf>
    <xf numFmtId="0" fontId="27" fillId="0" borderId="0" applyAlignment="1" pivotButton="0" quotePrefix="0" xfId="0">
      <alignment vertical="top"/>
    </xf>
    <xf numFmtId="0" fontId="20" fillId="0" borderId="0" applyAlignment="1" pivotButton="0" quotePrefix="0" xfId="3">
      <alignment vertical="top"/>
    </xf>
    <xf numFmtId="0" fontId="68" fillId="0" borderId="0" applyAlignment="1" pivotButton="0" quotePrefix="0" xfId="0">
      <alignment vertical="top"/>
    </xf>
    <xf numFmtId="0" fontId="76" fillId="2" borderId="0" applyAlignment="1" applyProtection="1" pivotButton="0" quotePrefix="0" xfId="0">
      <alignment vertical="center" wrapText="1"/>
      <protection locked="0" hidden="0"/>
    </xf>
    <xf numFmtId="0" fontId="0" fillId="4" borderId="0" applyAlignment="1" pivotButton="0" quotePrefix="0" xfId="0">
      <alignment vertical="top"/>
    </xf>
    <xf numFmtId="0" fontId="2" fillId="4" borderId="0" applyAlignment="1" pivotButton="0" quotePrefix="0" xfId="0">
      <alignment horizontal="right" vertical="top"/>
    </xf>
    <xf numFmtId="0" fontId="8" fillId="13" borderId="0" applyAlignment="1" pivotButton="0" quotePrefix="0" xfId="0">
      <alignment vertical="center" wrapText="1"/>
    </xf>
    <xf numFmtId="0" fontId="33" fillId="9" borderId="0" applyAlignment="1" pivotButton="0" quotePrefix="0" xfId="0">
      <alignment vertical="top"/>
    </xf>
    <xf numFmtId="0" fontId="25" fillId="14" borderId="15" applyAlignment="1" pivotButton="0" quotePrefix="0" xfId="0">
      <alignment vertical="center"/>
    </xf>
    <xf numFmtId="0" fontId="0" fillId="14" borderId="0" applyAlignment="1" pivotButton="0" quotePrefix="0" xfId="0">
      <alignment vertical="top"/>
    </xf>
    <xf numFmtId="0" fontId="25" fillId="14" borderId="14" applyAlignment="1" pivotButton="0" quotePrefix="0" xfId="0">
      <alignment vertical="center"/>
    </xf>
    <xf numFmtId="0" fontId="0" fillId="14" borderId="0" applyAlignment="1" pivotButton="0" quotePrefix="0" xfId="0">
      <alignment vertical="top" wrapText="1"/>
    </xf>
    <xf numFmtId="0" fontId="10" fillId="14" borderId="0" applyAlignment="1" pivotButton="0" quotePrefix="0" xfId="0">
      <alignment horizontal="right"/>
    </xf>
    <xf numFmtId="0" fontId="2" fillId="8" borderId="2" applyAlignment="1" pivotButton="0" quotePrefix="0" xfId="0">
      <alignment vertical="top"/>
    </xf>
    <xf numFmtId="0" fontId="33" fillId="9" borderId="0" applyAlignment="1" pivotButton="0" quotePrefix="0" xfId="0">
      <alignment horizontal="right" vertical="top"/>
    </xf>
    <xf numFmtId="9" fontId="14" fillId="8" borderId="1" applyAlignment="1" pivotButton="0" quotePrefix="0" xfId="0">
      <alignment horizontal="center" vertical="center"/>
    </xf>
    <xf numFmtId="0" fontId="59" fillId="4" borderId="0" applyAlignment="1" pivotButton="0" quotePrefix="0" xfId="3">
      <alignment horizontal="left" vertical="center"/>
    </xf>
    <xf numFmtId="0" fontId="25" fillId="14" borderId="9" applyAlignment="1" pivotButton="0" quotePrefix="0" xfId="0">
      <alignment vertical="center"/>
    </xf>
    <xf numFmtId="0" fontId="64" fillId="4" borderId="0" applyAlignment="1" pivotButton="0" quotePrefix="0" xfId="0">
      <alignment vertical="top"/>
    </xf>
    <xf numFmtId="164" fontId="0" fillId="5" borderId="22" applyAlignment="1" applyProtection="1" pivotButton="0" quotePrefix="0" xfId="0">
      <alignment horizontal="left" vertical="top"/>
      <protection locked="0" hidden="0"/>
    </xf>
    <xf numFmtId="0" fontId="0" fillId="4" borderId="16" applyAlignment="1" applyProtection="1" pivotButton="0" quotePrefix="0" xfId="0">
      <alignment vertical="top"/>
      <protection locked="0" hidden="0"/>
    </xf>
    <xf numFmtId="0" fontId="0" fillId="19" borderId="0" applyAlignment="1" pivotButton="0" quotePrefix="0" xfId="0">
      <alignment vertical="top"/>
    </xf>
    <xf numFmtId="9" fontId="0" fillId="5" borderId="10" applyAlignment="1" applyProtection="1" pivotButton="0" quotePrefix="0" xfId="0">
      <alignment vertical="top"/>
      <protection locked="0" hidden="0"/>
    </xf>
    <xf numFmtId="9" fontId="0" fillId="5" borderId="13" applyAlignment="1" applyProtection="1" pivotButton="0" quotePrefix="0" xfId="0">
      <alignment vertical="top"/>
      <protection locked="0" hidden="0"/>
    </xf>
    <xf numFmtId="166" fontId="5" fillId="19" borderId="9" applyAlignment="1" pivotButton="0" quotePrefix="0" xfId="1">
      <alignment vertical="top"/>
    </xf>
    <xf numFmtId="1" fontId="5" fillId="19" borderId="9" applyAlignment="1" pivotButton="0" quotePrefix="0" xfId="0">
      <alignment vertical="top"/>
    </xf>
    <xf numFmtId="0" fontId="43" fillId="4" borderId="0" applyAlignment="1" pivotButton="0" quotePrefix="0" xfId="0">
      <alignment horizontal="right" vertical="top"/>
    </xf>
    <xf numFmtId="0" fontId="11" fillId="14" borderId="0" applyAlignment="1" pivotButton="0" quotePrefix="0" xfId="0">
      <alignment horizontal="right" vertical="center"/>
    </xf>
    <xf numFmtId="0" fontId="79" fillId="14" borderId="4" applyAlignment="1" pivotButton="0" quotePrefix="0" xfId="0">
      <alignment horizontal="right" vertical="center"/>
    </xf>
    <xf numFmtId="0" fontId="78" fillId="14" borderId="0" applyAlignment="1" pivotButton="0" quotePrefix="0" xfId="0">
      <alignment vertical="center"/>
    </xf>
    <xf numFmtId="0" fontId="2" fillId="26" borderId="0" applyAlignment="1" pivotButton="0" quotePrefix="0" xfId="0">
      <alignment vertical="top"/>
    </xf>
    <xf numFmtId="0" fontId="2" fillId="26" borderId="0" applyAlignment="1" pivotButton="0" quotePrefix="0" xfId="0">
      <alignment vertical="top" wrapText="1"/>
    </xf>
    <xf numFmtId="9" fontId="0" fillId="5" borderId="10" applyAlignment="1" applyProtection="1" pivotButton="0" quotePrefix="0" xfId="2">
      <alignment horizontal="right" vertical="top"/>
      <protection locked="0" hidden="0"/>
    </xf>
    <xf numFmtId="9" fontId="0" fillId="14" borderId="10" applyAlignment="1" applyProtection="1" pivotButton="0" quotePrefix="0" xfId="2">
      <alignment horizontal="right" vertical="top"/>
      <protection locked="0" hidden="0"/>
    </xf>
    <xf numFmtId="0" fontId="0" fillId="4" borderId="0" applyAlignment="1" applyProtection="1" pivotButton="0" quotePrefix="0" xfId="0">
      <alignment horizontal="right" vertical="top"/>
      <protection locked="0" hidden="0"/>
    </xf>
    <xf numFmtId="9" fontId="42" fillId="5" borderId="0" applyAlignment="1" applyProtection="1" pivotButton="0" quotePrefix="0" xfId="0">
      <alignment horizontal="right" vertical="top"/>
      <protection locked="0" hidden="0"/>
    </xf>
    <xf numFmtId="9" fontId="0" fillId="5" borderId="0" applyAlignment="1" applyProtection="1" pivotButton="0" quotePrefix="0" xfId="0">
      <alignment vertical="top"/>
      <protection locked="0" hidden="0"/>
    </xf>
    <xf numFmtId="9" fontId="0" fillId="6" borderId="4" applyAlignment="1" applyProtection="1" pivotButton="0" quotePrefix="0" xfId="0">
      <alignment vertical="top" wrapText="1"/>
      <protection locked="0" hidden="0"/>
    </xf>
    <xf numFmtId="0" fontId="0" fillId="6" borderId="0" applyAlignment="1" pivotButton="0" quotePrefix="0" xfId="0">
      <alignment horizontal="left" vertical="top"/>
    </xf>
    <xf numFmtId="0" fontId="0" fillId="23" borderId="0" applyAlignment="1" pivotButton="0" quotePrefix="0" xfId="0">
      <alignment horizontal="left" vertical="top"/>
    </xf>
    <xf numFmtId="0" fontId="16" fillId="14" borderId="0" applyAlignment="1" pivotButton="0" quotePrefix="0" xfId="0">
      <alignment horizontal="left"/>
    </xf>
    <xf numFmtId="0" fontId="0" fillId="14" borderId="0" applyAlignment="1" pivotButton="0" quotePrefix="0" xfId="0">
      <alignment horizontal="left" vertical="top"/>
    </xf>
    <xf numFmtId="0" fontId="46" fillId="14" borderId="0" applyAlignment="1" pivotButton="0" quotePrefix="0" xfId="0">
      <alignment horizontal="left" vertical="center"/>
    </xf>
    <xf numFmtId="0" fontId="3" fillId="6" borderId="0" applyAlignment="1" pivotButton="0" quotePrefix="0" xfId="0">
      <alignment horizontal="left" vertical="top"/>
    </xf>
    <xf numFmtId="0" fontId="0" fillId="9" borderId="0" applyAlignment="1" pivotButton="0" quotePrefix="0" xfId="0">
      <alignment horizontal="left" vertical="top"/>
    </xf>
    <xf numFmtId="0" fontId="17" fillId="8" borderId="0" applyAlignment="1" pivotButton="0" quotePrefix="0" xfId="0">
      <alignment horizontal="left" vertical="top"/>
    </xf>
    <xf numFmtId="0" fontId="2" fillId="3" borderId="0" applyAlignment="1" pivotButton="0" quotePrefix="0" xfId="0">
      <alignment horizontal="left" vertical="top" wrapText="1"/>
    </xf>
    <xf numFmtId="0" fontId="6" fillId="10" borderId="0" applyAlignment="1" applyProtection="1" pivotButton="0" quotePrefix="0" xfId="0">
      <alignment horizontal="left" vertical="center"/>
      <protection locked="0" hidden="0"/>
    </xf>
    <xf numFmtId="0" fontId="0" fillId="4" borderId="0" applyAlignment="1" pivotButton="0" quotePrefix="0" xfId="0">
      <alignment horizontal="left" vertical="top"/>
    </xf>
    <xf numFmtId="0" fontId="0" fillId="6" borderId="4" applyAlignment="1" pivotButton="0" quotePrefix="0" xfId="0">
      <alignment horizontal="left" vertical="top"/>
    </xf>
    <xf numFmtId="0" fontId="0" fillId="6" borderId="0" applyAlignment="1" pivotButton="0" quotePrefix="0" xfId="0">
      <alignment horizontal="left" vertical="top"/>
    </xf>
    <xf numFmtId="0" fontId="0" fillId="10" borderId="0" applyAlignment="1" pivotButton="0" quotePrefix="0" xfId="0">
      <alignment horizontal="left" vertical="top"/>
    </xf>
    <xf numFmtId="0" fontId="17" fillId="8" borderId="0" applyAlignment="1" pivotButton="0" quotePrefix="0" xfId="0">
      <alignment horizontal="left" vertical="center"/>
    </xf>
    <xf numFmtId="0" fontId="2" fillId="24" borderId="0" applyAlignment="1" pivotButton="0" quotePrefix="0" xfId="0">
      <alignment horizontal="left" vertical="top"/>
    </xf>
    <xf numFmtId="0" fontId="2" fillId="26" borderId="0" applyAlignment="1" pivotButton="0" quotePrefix="0" xfId="0">
      <alignment horizontal="left" vertical="top"/>
    </xf>
    <xf numFmtId="0" fontId="0" fillId="24" borderId="0" applyAlignment="1" pivotButton="0" quotePrefix="0" xfId="0">
      <alignment horizontal="left" vertical="top"/>
    </xf>
    <xf numFmtId="0" fontId="0" fillId="6" borderId="0" applyAlignment="1" applyProtection="1" pivotButton="0" quotePrefix="0" xfId="0">
      <alignment horizontal="left" vertical="top"/>
      <protection locked="0" hidden="0"/>
    </xf>
    <xf numFmtId="0" fontId="0" fillId="4" borderId="0" applyAlignment="1" applyProtection="1" pivotButton="0" quotePrefix="0" xfId="0">
      <alignment horizontal="left" vertical="top"/>
      <protection locked="0" hidden="0"/>
    </xf>
    <xf numFmtId="0" fontId="2" fillId="4" borderId="12" applyAlignment="1" applyProtection="1" pivotButton="0" quotePrefix="0" xfId="0">
      <alignment horizontal="center" vertical="top"/>
      <protection locked="0" hidden="0"/>
    </xf>
    <xf numFmtId="0" fontId="2" fillId="4" borderId="12" applyAlignment="1" applyProtection="1" pivotButton="0" quotePrefix="0" xfId="0">
      <alignment vertical="top"/>
      <protection locked="0" hidden="0"/>
    </xf>
    <xf numFmtId="0" fontId="50" fillId="14" borderId="0" applyAlignment="1" pivotButton="0" quotePrefix="0" xfId="0">
      <alignment horizontal="left" vertical="center"/>
    </xf>
    <xf numFmtId="2" fontId="8" fillId="13" borderId="0" applyAlignment="1" applyProtection="1" pivotButton="0" quotePrefix="0" xfId="0">
      <alignment horizontal="right" vertical="center"/>
      <protection locked="0" hidden="0"/>
    </xf>
    <xf numFmtId="0" fontId="7" fillId="13" borderId="0" applyAlignment="1" applyProtection="1" pivotButton="0" quotePrefix="0" xfId="0">
      <alignment horizontal="left" vertical="center"/>
      <protection locked="0" hidden="0"/>
    </xf>
    <xf numFmtId="166" fontId="7" fillId="13" borderId="0" applyAlignment="1" pivotButton="0" quotePrefix="0" xfId="1">
      <alignment horizontal="left" vertical="center" indent="1"/>
    </xf>
    <xf numFmtId="0" fontId="8" fillId="2" borderId="0" applyAlignment="1" applyProtection="1" pivotButton="0" quotePrefix="0" xfId="0">
      <alignment horizontal="left" vertical="center"/>
      <protection locked="0" hidden="0"/>
    </xf>
    <xf numFmtId="166" fontId="6" fillId="10" borderId="0" applyAlignment="1" pivotButton="0" quotePrefix="0" xfId="1">
      <alignment horizontal="right" vertical="center"/>
    </xf>
    <xf numFmtId="0" fontId="63" fillId="4" borderId="0" applyAlignment="1" applyProtection="1" pivotButton="0" quotePrefix="0" xfId="0">
      <alignment horizontal="right" vertical="top" wrapText="1"/>
      <protection locked="0" hidden="0"/>
    </xf>
    <xf numFmtId="0" fontId="2" fillId="8" borderId="5" applyAlignment="1" pivotButton="0" quotePrefix="0" xfId="0">
      <alignment horizontal="center" vertical="top"/>
    </xf>
    <xf numFmtId="0" fontId="2" fillId="8" borderId="7" applyAlignment="1" pivotButton="0" quotePrefix="0" xfId="0">
      <alignment horizontal="center" vertical="top"/>
    </xf>
    <xf numFmtId="0" fontId="2" fillId="8" borderId="6" applyAlignment="1" pivotButton="0" quotePrefix="0" xfId="0">
      <alignment horizontal="center" vertical="top"/>
    </xf>
    <xf numFmtId="0" fontId="0" fillId="4" borderId="0" applyAlignment="1" pivotButton="0" quotePrefix="0" xfId="0">
      <alignment horizontal="left" vertical="top" wrapText="1"/>
    </xf>
    <xf numFmtId="0" fontId="35" fillId="4" borderId="16" applyAlignment="1" pivotButton="0" quotePrefix="0" xfId="0">
      <alignment horizontal="center" vertical="center"/>
    </xf>
    <xf numFmtId="0" fontId="35" fillId="4" borderId="0" applyAlignment="1" pivotButton="0" quotePrefix="0" xfId="0">
      <alignment horizontal="center" vertical="center"/>
    </xf>
    <xf numFmtId="0" fontId="35" fillId="4" borderId="8" applyAlignment="1" pivotButton="0" quotePrefix="0" xfId="0">
      <alignment horizontal="center" vertical="center"/>
    </xf>
    <xf numFmtId="0" fontId="35" fillId="4" borderId="4" applyAlignment="1" pivotButton="0" quotePrefix="0" xfId="0">
      <alignment horizontal="center" vertical="center"/>
    </xf>
    <xf numFmtId="166" fontId="0" fillId="4" borderId="11" applyAlignment="1" pivotButton="0" quotePrefix="0" xfId="1">
      <alignment horizontal="center" vertical="top"/>
    </xf>
    <xf numFmtId="166" fontId="0" fillId="4" borderId="13" applyAlignment="1" pivotButton="0" quotePrefix="0" xfId="1">
      <alignment horizontal="center" vertical="top"/>
    </xf>
    <xf numFmtId="166" fontId="0" fillId="4" borderId="8" applyAlignment="1" pivotButton="0" quotePrefix="0" xfId="1">
      <alignment horizontal="center" vertical="top"/>
    </xf>
    <xf numFmtId="166" fontId="0" fillId="4" borderId="15" applyAlignment="1" pivotButton="0" quotePrefix="0" xfId="1">
      <alignment horizontal="center" vertical="top"/>
    </xf>
    <xf numFmtId="166" fontId="5" fillId="19" borderId="9" applyAlignment="1" pivotButton="0" quotePrefix="0" xfId="1">
      <alignment horizontal="center" vertical="top"/>
    </xf>
    <xf numFmtId="0" fontId="19" fillId="19" borderId="9" applyAlignment="1" pivotButton="0" quotePrefix="0" xfId="0">
      <alignment horizontal="center" vertical="top"/>
    </xf>
    <xf numFmtId="0" fontId="65" fillId="4" borderId="0" applyAlignment="1" applyProtection="1" pivotButton="0" quotePrefix="0" xfId="0">
      <alignment horizontal="left" vertical="top" wrapText="1"/>
      <protection locked="0" hidden="0"/>
    </xf>
    <xf numFmtId="0" fontId="2" fillId="3" borderId="0" applyAlignment="1" pivotButton="0" quotePrefix="0" xfId="0">
      <alignment horizontal="center" vertical="top"/>
    </xf>
    <xf numFmtId="0" fontId="2" fillId="3" borderId="2" applyAlignment="1" pivotButton="0" quotePrefix="0" xfId="0">
      <alignment horizontal="center" vertical="top"/>
    </xf>
    <xf numFmtId="0" fontId="52" fillId="2" borderId="0" applyAlignment="1" pivotButton="0" quotePrefix="0" xfId="0">
      <alignment horizontal="center" textRotation="90"/>
    </xf>
    <xf numFmtId="0" fontId="58" fillId="2" borderId="0" applyAlignment="1" pivotButton="0" quotePrefix="0" xfId="3">
      <alignment horizontal="center"/>
    </xf>
    <xf numFmtId="0" fontId="2" fillId="9" borderId="7" applyAlignment="1" pivotButton="0" quotePrefix="0" xfId="0">
      <alignment horizontal="center" vertical="top"/>
    </xf>
    <xf numFmtId="0" fontId="2" fillId="9" borderId="0" applyAlignment="1" pivotButton="0" quotePrefix="0" xfId="0">
      <alignment horizontal="center" vertical="center"/>
    </xf>
    <xf numFmtId="0" fontId="57" fillId="4" borderId="0" applyAlignment="1" pivotButton="0" quotePrefix="0" xfId="3">
      <alignment horizontal="center" vertical="top"/>
    </xf>
    <xf numFmtId="0" fontId="58" fillId="4" borderId="0" applyAlignment="1" pivotButton="0" quotePrefix="0" xfId="3">
      <alignment horizontal="center" vertical="top"/>
    </xf>
    <xf numFmtId="0" fontId="2" fillId="14" borderId="0" applyAlignment="1" pivotButton="0" quotePrefix="0" xfId="0">
      <alignment horizontal="center" vertical="center" wrapText="1"/>
    </xf>
    <xf numFmtId="15" fontId="0" fillId="14" borderId="0" applyAlignment="1" pivotButton="0" quotePrefix="0" xfId="0">
      <alignment horizontal="left" vertical="top"/>
    </xf>
    <xf numFmtId="0" fontId="4" fillId="14" borderId="0" applyAlignment="1" pivotButton="0" quotePrefix="0" xfId="0">
      <alignment horizontal="right" wrapText="1"/>
    </xf>
    <xf numFmtId="0" fontId="64" fillId="4" borderId="4" applyAlignment="1" applyProtection="1" pivotButton="0" quotePrefix="0" xfId="0">
      <alignment horizontal="center" vertical="top"/>
      <protection locked="0" hidden="0"/>
    </xf>
    <xf numFmtId="0" fontId="64" fillId="4" borderId="4" applyAlignment="1" pivotButton="0" quotePrefix="0" xfId="0">
      <alignment horizontal="center" vertical="top"/>
    </xf>
    <xf numFmtId="0" fontId="0" fillId="4" borderId="0" applyAlignment="1" pivotButton="0" quotePrefix="0" xfId="0">
      <alignment horizontal="right" vertical="top" wrapText="1"/>
    </xf>
    <xf numFmtId="0" fontId="44" fillId="4" borderId="0" applyAlignment="1" pivotButton="0" quotePrefix="0" xfId="0">
      <alignment horizontal="left" vertical="top" wrapText="1"/>
    </xf>
    <xf numFmtId="166" fontId="6" fillId="10" borderId="0" applyAlignment="1" pivotButton="0" quotePrefix="0" xfId="1">
      <alignment horizontal="center" vertical="center"/>
    </xf>
    <xf numFmtId="166" fontId="53" fillId="9" borderId="0" applyAlignment="1" pivotButton="0" quotePrefix="0" xfId="1">
      <alignment horizontal="right" vertical="top"/>
    </xf>
    <xf numFmtId="15" fontId="38" fillId="19" borderId="0" applyAlignment="1" pivotButton="0" quotePrefix="0" xfId="0">
      <alignment horizontal="left" vertical="center" wrapText="1"/>
    </xf>
    <xf numFmtId="0" fontId="2" fillId="2" borderId="1" applyAlignment="1" pivotButton="0" quotePrefix="0" xfId="0">
      <alignment horizontal="center"/>
    </xf>
    <xf numFmtId="0" fontId="2" fillId="2" borderId="0" applyAlignment="1" pivotButton="0" quotePrefix="0" xfId="0">
      <alignment horizontal="center"/>
    </xf>
    <xf numFmtId="15" fontId="0" fillId="0" borderId="0" applyAlignment="1" pivotButton="0" quotePrefix="0" xfId="0">
      <alignment horizontal="center"/>
    </xf>
    <xf numFmtId="15" fontId="0" fillId="5" borderId="0" applyAlignment="1" pivotButton="0" quotePrefix="0" xfId="0">
      <alignment horizontal="left"/>
    </xf>
    <xf numFmtId="0" fontId="2" fillId="2" borderId="2" applyAlignment="1" pivotButton="0" quotePrefix="0" xfId="0">
      <alignment horizontal="center"/>
    </xf>
    <xf numFmtId="0" fontId="67" fillId="0" borderId="0" applyAlignment="1" pivotButton="0" quotePrefix="0" xfId="0">
      <alignment horizontal="center" vertical="top"/>
    </xf>
    <xf numFmtId="0" fontId="66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right" vertical="top" wrapText="1"/>
    </xf>
    <xf numFmtId="166" fontId="23" fillId="14" borderId="0" applyAlignment="1" pivotButton="0" quotePrefix="0" xfId="1">
      <alignment horizontal="left" vertical="center"/>
    </xf>
    <xf numFmtId="166" fontId="45" fillId="14" borderId="0" applyAlignment="1" pivotButton="0" quotePrefix="0" xfId="1">
      <alignment horizontal="left" vertical="center"/>
    </xf>
    <xf numFmtId="0" fontId="0" fillId="0" borderId="7" pivotButton="0" quotePrefix="0" xfId="0"/>
    <xf numFmtId="0" fontId="2" fillId="8" borderId="23" applyAlignment="1" pivotButton="0" quotePrefix="0" xfId="0">
      <alignment horizontal="center" vertical="top"/>
    </xf>
    <xf numFmtId="0" fontId="0" fillId="0" borderId="6" pivotButton="0" quotePrefix="0" xfId="0"/>
    <xf numFmtId="0" fontId="0" fillId="0" borderId="2" pivotButton="0" quotePrefix="0" xfId="0"/>
    <xf numFmtId="166" fontId="6" fillId="10" borderId="0" applyAlignment="1" pivotButton="0" quotePrefix="0" xfId="1">
      <alignment horizontal="right" vertical="center"/>
    </xf>
    <xf numFmtId="0" fontId="0" fillId="0" borderId="0" applyProtection="1" pivotButton="0" quotePrefix="0" xfId="0">
      <protection locked="0" hidden="0"/>
    </xf>
    <xf numFmtId="166" fontId="56" fillId="4" borderId="0" applyAlignment="1" pivotButton="0" quotePrefix="0" xfId="1">
      <alignment vertical="center"/>
    </xf>
    <xf numFmtId="166" fontId="7" fillId="13" borderId="0" applyAlignment="1" pivotButton="0" quotePrefix="0" xfId="1">
      <alignment horizontal="left" vertical="center" indent="1"/>
    </xf>
    <xf numFmtId="166" fontId="6" fillId="10" borderId="0" applyAlignment="1" pivotButton="0" quotePrefix="0" xfId="1">
      <alignment horizontal="center" vertical="center"/>
    </xf>
    <xf numFmtId="166" fontId="53" fillId="9" borderId="0" applyAlignment="1" pivotButton="0" quotePrefix="0" xfId="1">
      <alignment horizontal="right" vertical="top"/>
    </xf>
    <xf numFmtId="166" fontId="2" fillId="24" borderId="0" applyAlignment="1" pivotButton="0" quotePrefix="0" xfId="1">
      <alignment vertical="top"/>
    </xf>
    <xf numFmtId="0" fontId="0" fillId="0" borderId="4" pivotButton="0" quotePrefix="0" xfId="0"/>
    <xf numFmtId="164" fontId="0" fillId="5" borderId="10" applyAlignment="1" applyProtection="1" pivotButton="0" quotePrefix="0" xfId="0">
      <alignment horizontal="center" vertical="top"/>
      <protection locked="0" hidden="0"/>
    </xf>
    <xf numFmtId="0" fontId="35" fillId="4" borderId="24" applyAlignment="1" pivotButton="0" quotePrefix="0" xfId="0">
      <alignment horizontal="center" vertical="center"/>
    </xf>
    <xf numFmtId="0" fontId="0" fillId="0" borderId="24" pivotButton="0" quotePrefix="0" xfId="0"/>
    <xf numFmtId="164" fontId="0" fillId="4" borderId="13" applyAlignment="1" pivotButton="0" quotePrefix="0" xfId="0">
      <alignment vertical="top"/>
    </xf>
    <xf numFmtId="166" fontId="0" fillId="4" borderId="10" applyAlignment="1" pivotButton="0" quotePrefix="0" xfId="1">
      <alignment horizontal="center" vertical="top"/>
    </xf>
    <xf numFmtId="0" fontId="0" fillId="0" borderId="13" pivotButton="0" quotePrefix="0" xfId="0"/>
    <xf numFmtId="166" fontId="0" fillId="4" borderId="25" applyAlignment="1" pivotButton="0" quotePrefix="0" xfId="1">
      <alignment horizontal="center" vertical="top"/>
    </xf>
    <xf numFmtId="0" fontId="0" fillId="0" borderId="15" pivotButton="0" quotePrefix="0" xfId="0"/>
    <xf numFmtId="166" fontId="5" fillId="19" borderId="9" applyAlignment="1" pivotButton="0" quotePrefix="0" xfId="1">
      <alignment vertical="top"/>
    </xf>
    <xf numFmtId="0" fontId="0" fillId="0" borderId="9" pivotButton="0" quotePrefix="0" xfId="0"/>
    <xf numFmtId="166" fontId="5" fillId="19" borderId="9" applyAlignment="1" pivotButton="0" quotePrefix="0" xfId="1">
      <alignment horizontal="center" vertical="top"/>
    </xf>
    <xf numFmtId="0" fontId="0" fillId="0" borderId="4" applyProtection="1" pivotButton="0" quotePrefix="0" xfId="0">
      <protection locked="0" hidden="0"/>
    </xf>
    <xf numFmtId="164" fontId="0" fillId="14" borderId="10" applyAlignment="1" applyProtection="1" pivotButton="0" quotePrefix="0" xfId="0">
      <alignment horizontal="right" vertical="top"/>
      <protection locked="0" hidden="0"/>
    </xf>
    <xf numFmtId="164" fontId="0" fillId="5" borderId="10" applyAlignment="1" applyProtection="1" pivotButton="0" quotePrefix="0" xfId="2">
      <alignment horizontal="right" vertical="top"/>
      <protection locked="0" hidden="0"/>
    </xf>
    <xf numFmtId="164" fontId="0" fillId="5" borderId="10" applyAlignment="1" applyProtection="1" pivotButton="0" quotePrefix="0" xfId="0">
      <alignment horizontal="right" vertical="top"/>
      <protection locked="0" hidden="0"/>
    </xf>
    <xf numFmtId="164" fontId="0" fillId="5" borderId="10" applyAlignment="1" applyProtection="1" pivotButton="0" quotePrefix="0" xfId="0">
      <alignment horizontal="left" vertical="top"/>
      <protection locked="0" hidden="0"/>
    </xf>
    <xf numFmtId="164" fontId="0" fillId="14" borderId="10" applyAlignment="1" applyProtection="1" pivotButton="0" quotePrefix="0" xfId="2">
      <alignment horizontal="right" vertical="top"/>
      <protection locked="0" hidden="0"/>
    </xf>
    <xf numFmtId="164" fontId="0" fillId="5" borderId="22" applyAlignment="1" applyProtection="1" pivotButton="0" quotePrefix="0" xfId="0">
      <alignment horizontal="left" vertical="top"/>
      <protection locked="0" hidden="0"/>
    </xf>
    <xf numFmtId="164" fontId="0" fillId="5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2">
      <alignment horizontal="right" vertical="top"/>
      <protection locked="0" hidden="0"/>
    </xf>
    <xf numFmtId="164" fontId="0" fillId="14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0">
      <alignment horizontal="left" vertical="top"/>
      <protection locked="0" hidden="0"/>
    </xf>
    <xf numFmtId="0" fontId="2" fillId="2" borderId="17" applyAlignment="1" pivotButton="0" quotePrefix="0" xfId="0">
      <alignment horizontal="center"/>
    </xf>
    <xf numFmtId="165" fontId="27" fillId="2" borderId="20" applyAlignment="1" pivotButton="0" quotePrefix="0" xfId="0">
      <alignment horizontal="center" textRotation="90"/>
    </xf>
    <xf numFmtId="165" fontId="27" fillId="2" borderId="3" applyAlignment="1" pivotButton="0" quotePrefix="0" xfId="0">
      <alignment horizontal="center" textRotation="90"/>
    </xf>
    <xf numFmtId="165" fontId="27" fillId="2" borderId="21" applyAlignment="1" pivotButton="0" quotePrefix="0" xfId="0">
      <alignment horizontal="center" textRotation="90"/>
    </xf>
    <xf numFmtId="164" fontId="0" fillId="0" borderId="0" pivotButton="0" quotePrefix="0" xfId="0"/>
  </cellXfs>
  <cellStyles count="4">
    <cellStyle name="Normal" xfId="0" builtinId="0"/>
    <cellStyle name="Comma" xfId="1" builtinId="3"/>
    <cellStyle name="Percent" xfId="2" builtinId="5"/>
    <cellStyle name="Hyperlink" xfId="3" builtinId="8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"/>
      </font>
      <fill>
        <patternFill>
          <bgColor theme="7" tint="0.5999633777886288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3122465806454857"/>
          <y val="0.2631100635760737"/>
          <w val="0.4343925099733792"/>
          <h val="0.4535567890047316"/>
        </manualLayout>
      </layout>
      <pieChart>
        <varyColors val="1"/>
        <ser>
          <idx val="0"/>
          <order val="0"/>
          <spPr>
            <a:ln>
              <a:prstDash val="solid"/>
            </a:ln>
          </spPr>
          <dLbls>
            <spPr>
              <a:noFill/>
              <a:ln>
                <a:noFill/>
                <a:prstDash val="solid"/>
              </a:ln>
            </spPr>
            <dLblPos val="bestFit"/>
            <showLegendKey val="0"/>
            <showVal val="0"/>
            <showCatName val="1"/>
            <showSerName val="0"/>
            <showPercent val="1"/>
            <showBubbleSize val="0"/>
            <showLeaderLines val="1"/>
          </dLbls>
          <cat>
            <multiLvlStrRef>
              <f>Estimation!$L$227:$L$232</f>
            </multiLvlStrRef>
          </cat>
          <val>
            <numRef>
              <f>Estimation!$O$227:$O$232</f>
            </numRef>
          </val>
        </ser>
        <dLbls>
          <dLblPos val="bestFit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24</col>
      <colOff>89647</colOff>
      <row>225</row>
      <rowOff>100852</rowOff>
    </from>
    <to>
      <col>26</col>
      <colOff>515471</colOff>
      <row>233</row>
      <rowOff>22411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hyperlink" Target="mailto:vikas.burman@nagarro.com" TargetMode="External" Id="rId1" /></Relationships>
</file>

<file path=xl/worksheets/sheet1.xml><?xml version="1.0" encoding="utf-8"?>
<worksheet xmlns="http://schemas.openxmlformats.org/spreadsheetml/2006/main">
  <sheetPr codeName="Sheet1">
    <outlinePr summaryBelow="0" summaryRight="0"/>
    <pageSetUpPr/>
  </sheetPr>
  <dimension ref="B2:C59"/>
  <sheetViews>
    <sheetView workbookViewId="0">
      <selection activeCell="B51" sqref="B51:C55"/>
    </sheetView>
  </sheetViews>
  <sheetFormatPr baseColWidth="8" defaultRowHeight="14.5" outlineLevelRow="1"/>
  <cols>
    <col width="3.81640625" customWidth="1" style="232" min="1" max="1"/>
    <col width="14.1796875" customWidth="1" style="232" min="2" max="2"/>
    <col width="32.26953125" customWidth="1" style="232" min="3" max="3"/>
  </cols>
  <sheetData>
    <row r="2" collapsed="1" s="232">
      <c r="B2" s="3" t="inlineStr">
        <is>
          <t>YES_NO_LIST</t>
        </is>
      </c>
      <c r="C2" s="4" t="n"/>
    </row>
    <row r="3" hidden="1" outlineLevel="1" s="232">
      <c r="B3" s="2" t="inlineStr">
        <is>
          <t>-</t>
        </is>
      </c>
      <c r="C3" s="2" t="n"/>
    </row>
    <row r="4" hidden="1" outlineLevel="1" s="232">
      <c r="B4" s="2" t="inlineStr">
        <is>
          <t>Yes</t>
        </is>
      </c>
      <c r="C4" s="2" t="n"/>
    </row>
    <row r="5" hidden="1" outlineLevel="1" s="232">
      <c r="B5" s="2" t="inlineStr">
        <is>
          <t>No</t>
        </is>
      </c>
      <c r="C5" s="2" t="n"/>
    </row>
    <row r="7" collapsed="1" s="232">
      <c r="B7" s="3" t="inlineStr">
        <is>
          <t>ROLES_LIST</t>
        </is>
      </c>
      <c r="C7" s="4" t="n"/>
    </row>
    <row r="8" hidden="1" outlineLevel="1" s="232">
      <c r="B8" s="2" t="inlineStr">
        <is>
          <t>-</t>
        </is>
      </c>
      <c r="C8" s="2" t="n"/>
    </row>
    <row r="9" hidden="1" outlineLevel="1" s="232">
      <c r="B9" s="2" t="inlineStr">
        <is>
          <t>BA</t>
        </is>
      </c>
      <c r="C9" s="2" t="n"/>
    </row>
    <row r="10" hidden="1" outlineLevel="1" s="232">
      <c r="B10" s="2" t="inlineStr">
        <is>
          <t>GD</t>
        </is>
      </c>
      <c r="C10" s="2" t="n"/>
    </row>
    <row r="11" hidden="1" outlineLevel="1" s="232">
      <c r="B11" s="2" t="inlineStr">
        <is>
          <t>OC</t>
        </is>
      </c>
      <c r="C11" s="2" t="n"/>
    </row>
    <row r="12" hidden="1" outlineLevel="1" s="232">
      <c r="B12" s="2" t="inlineStr">
        <is>
          <t>PM</t>
        </is>
      </c>
      <c r="C12" s="2" t="n"/>
    </row>
    <row r="13" hidden="1" outlineLevel="1" s="232">
      <c r="B13" s="2" t="inlineStr">
        <is>
          <t>TA</t>
        </is>
      </c>
      <c r="C13" s="2" t="n"/>
    </row>
    <row r="14" hidden="1" outlineLevel="1" s="232">
      <c r="B14" s="2" t="inlineStr">
        <is>
          <t>TL</t>
        </is>
      </c>
      <c r="C14" s="2" t="n"/>
    </row>
    <row r="15" hidden="1" outlineLevel="1" s="232">
      <c r="B15" s="2" t="inlineStr">
        <is>
          <t>DEV</t>
        </is>
      </c>
      <c r="C15" s="2" t="n"/>
    </row>
    <row r="16" hidden="1" outlineLevel="1" s="232">
      <c r="B16" s="2" t="inlineStr">
        <is>
          <t>QA</t>
        </is>
      </c>
      <c r="C16" s="2" t="n"/>
    </row>
    <row r="18" collapsed="1" s="232">
      <c r="B18" s="3" t="inlineStr">
        <is>
          <t>REGIONS_LIST</t>
        </is>
      </c>
      <c r="C18" s="4" t="n"/>
    </row>
    <row r="19" hidden="1" outlineLevel="1" s="232">
      <c r="B19" s="2" t="inlineStr">
        <is>
          <t>-</t>
        </is>
      </c>
      <c r="C19" s="2" t="n"/>
    </row>
    <row r="20" hidden="1" outlineLevel="1" s="232">
      <c r="B20" s="2" t="inlineStr">
        <is>
          <t>USA</t>
        </is>
      </c>
      <c r="C20" s="2" t="n"/>
    </row>
    <row r="21" hidden="1" outlineLevel="1" s="232">
      <c r="B21" s="2" t="inlineStr">
        <is>
          <t>Mexico</t>
        </is>
      </c>
      <c r="C21" s="2" t="n"/>
    </row>
    <row r="22" hidden="1" outlineLevel="1" s="232">
      <c r="B22" s="2" t="inlineStr">
        <is>
          <t>Europe</t>
        </is>
      </c>
      <c r="C22" s="2" t="n"/>
    </row>
    <row r="23" hidden="1" outlineLevel="1" s="232">
      <c r="B23" s="2" t="inlineStr">
        <is>
          <t>Asia (except India)</t>
        </is>
      </c>
      <c r="C23" s="2" t="n"/>
    </row>
    <row r="24" hidden="1" outlineLevel="1" s="232">
      <c r="B24" s="2" t="inlineStr">
        <is>
          <t>India</t>
        </is>
      </c>
      <c r="C24" s="2" t="n"/>
    </row>
    <row r="26" collapsed="1" s="232">
      <c r="B26" s="3" t="inlineStr">
        <is>
          <t>CURRENCIES_LIST</t>
        </is>
      </c>
      <c r="C26" s="4" t="n"/>
    </row>
    <row r="27" hidden="1" outlineLevel="1" s="232">
      <c r="B27" s="2" t="inlineStr">
        <is>
          <t>-</t>
        </is>
      </c>
      <c r="C27" s="2" t="n"/>
    </row>
    <row r="28" hidden="1" outlineLevel="1" s="232">
      <c r="B28" s="2" t="inlineStr">
        <is>
          <t>USD</t>
        </is>
      </c>
      <c r="C28" s="2" t="n"/>
    </row>
    <row r="29" hidden="1" outlineLevel="1" s="232">
      <c r="B29" s="2" t="inlineStr">
        <is>
          <t>Euro</t>
        </is>
      </c>
      <c r="C29" s="2" t="n"/>
    </row>
    <row r="31" collapsed="1" s="232">
      <c r="B31" s="3" t="inlineStr">
        <is>
          <t>PROJECT_TYPES_LIST</t>
        </is>
      </c>
      <c r="C31" s="3" t="n"/>
    </row>
    <row r="32" hidden="1" outlineLevel="1" s="232">
      <c r="B32" s="2" t="inlineStr">
        <is>
          <t>-</t>
        </is>
      </c>
      <c r="C32" s="2" t="n"/>
    </row>
    <row r="33" hidden="1" outlineLevel="1" s="232">
      <c r="B33" s="2" t="inlineStr">
        <is>
          <t>Development</t>
        </is>
      </c>
      <c r="C33" s="2" t="n"/>
    </row>
    <row r="34" hidden="1" outlineLevel="1" s="232">
      <c r="B34" s="2" t="inlineStr">
        <is>
          <t>Consulting</t>
        </is>
      </c>
      <c r="C34" s="2" t="n"/>
    </row>
    <row r="35" hidden="1" outlineLevel="1" s="232">
      <c r="B35" s="2" t="inlineStr">
        <is>
          <t>Testing</t>
        </is>
      </c>
      <c r="C35" s="2" t="n"/>
    </row>
    <row r="37" collapsed="1" s="232">
      <c r="B37" s="3" t="inlineStr">
        <is>
          <t>PLATFORMS_LIST</t>
        </is>
      </c>
      <c r="C37" s="3" t="n"/>
    </row>
    <row r="38" hidden="1" outlineLevel="1" s="232">
      <c r="B38" s="2" t="inlineStr">
        <is>
          <t>-</t>
        </is>
      </c>
      <c r="C38" s="2" t="n"/>
    </row>
    <row r="39" hidden="1" outlineLevel="1" s="232">
      <c r="B39" s="2" t="inlineStr">
        <is>
          <t>Web</t>
        </is>
      </c>
      <c r="C39" s="2" t="n"/>
    </row>
    <row r="40" hidden="1" outlineLevel="1" s="232">
      <c r="B40" s="2" t="inlineStr">
        <is>
          <t>Windows</t>
        </is>
      </c>
      <c r="C40" s="2" t="n"/>
    </row>
    <row r="41" hidden="1" outlineLevel="1" s="232">
      <c r="B41" s="2" t="inlineStr">
        <is>
          <t>Mobile</t>
        </is>
      </c>
      <c r="C41" s="2" t="n"/>
    </row>
    <row r="42" hidden="1" outlineLevel="1" s="232">
      <c r="B42" s="2" t="inlineStr">
        <is>
          <t>Enterprise</t>
        </is>
      </c>
      <c r="C42" s="2" t="n"/>
    </row>
    <row r="44" collapsed="1" s="232">
      <c r="B44" s="3" t="inlineStr">
        <is>
          <t>BUFFER_TYPES_LIST</t>
        </is>
      </c>
      <c r="C44" s="4" t="n"/>
    </row>
    <row r="45" hidden="1" outlineLevel="1" s="232">
      <c r="B45" s="2" t="inlineStr">
        <is>
          <t>-</t>
        </is>
      </c>
      <c r="C45" s="2" t="n"/>
    </row>
    <row r="46" hidden="1" outlineLevel="1" s="232">
      <c r="B46" s="2" t="inlineStr">
        <is>
          <t>Low</t>
        </is>
      </c>
      <c r="C46" s="2" t="n"/>
    </row>
    <row r="47" hidden="1" outlineLevel="1" s="232">
      <c r="B47" s="2" t="inlineStr">
        <is>
          <t>Medium</t>
        </is>
      </c>
      <c r="C47" s="2" t="n"/>
    </row>
    <row r="48" hidden="1" outlineLevel="1" s="232">
      <c r="B48" s="2" t="inlineStr">
        <is>
          <t>High</t>
        </is>
      </c>
      <c r="C48" s="2" t="n"/>
    </row>
    <row r="50" collapsed="1" s="232">
      <c r="B50" s="3" t="inlineStr">
        <is>
          <t>SALES_CALL_SCALE_LIST</t>
        </is>
      </c>
      <c r="C50" s="3" t="n"/>
    </row>
    <row r="51" hidden="1" outlineLevel="1" s="232">
      <c r="B51" s="2" t="inlineStr">
        <is>
          <t>Minimize</t>
        </is>
      </c>
      <c r="C51" s="163">
        <f>IF(MIN_EFFORT_PERCENT &lt; 0, MIN_EFFORT_PERCENT, MIN_EFFORT_PERCENT*-1)</f>
        <v/>
      </c>
    </row>
    <row r="52" hidden="1" outlineLevel="1" s="232">
      <c r="B52" s="2" t="inlineStr">
        <is>
          <t>Reduce by:</t>
        </is>
      </c>
      <c r="C52" s="163">
        <f>CUSTOM_PERCENT*-1</f>
        <v/>
      </c>
    </row>
    <row r="53" hidden="1" outlineLevel="1" s="232">
      <c r="B53" s="2" t="inlineStr">
        <is>
          <t>No Change</t>
        </is>
      </c>
      <c r="C53" s="163" t="n">
        <v>0</v>
      </c>
    </row>
    <row r="54" hidden="1" outlineLevel="1" s="232">
      <c r="B54" s="2" t="inlineStr">
        <is>
          <t>Increase by:</t>
        </is>
      </c>
      <c r="C54" s="163">
        <f>CUSTOM_PERCENT</f>
        <v/>
      </c>
    </row>
    <row r="55" hidden="1" outlineLevel="1" s="232">
      <c r="B55" s="2" t="inlineStr">
        <is>
          <t>Maximize</t>
        </is>
      </c>
      <c r="C55" s="163">
        <f>MAX_EFFORT_PERCENT</f>
        <v/>
      </c>
    </row>
    <row r="57" collapsed="1" s="232">
      <c r="B57" s="3" t="inlineStr">
        <is>
          <t>INCLUDE_OPTIONALS_LIST</t>
        </is>
      </c>
      <c r="C57" s="3" t="n"/>
    </row>
    <row r="58" hidden="1" outlineLevel="1" s="232">
      <c r="B58" s="2" t="inlineStr">
        <is>
          <t>Include</t>
        </is>
      </c>
      <c r="C58" s="2" t="n"/>
    </row>
    <row r="59" hidden="1" outlineLevel="1" s="232">
      <c r="B59" s="2" t="inlineStr">
        <is>
          <t>Exclude</t>
        </is>
      </c>
      <c r="C59" s="2" t="n"/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>
  <sheetPr codeName="Sheet3">
    <outlinePr summaryBelow="0" summaryRight="0"/>
    <pageSetUpPr/>
  </sheetPr>
  <dimension ref="A1:AD382"/>
  <sheetViews>
    <sheetView showGridLines="0" tabSelected="1" zoomScale="85" zoomScaleNormal="85" workbookViewId="0">
      <pane xSplit="11" ySplit="11" topLeftCell="L14" activePane="bottomRight" state="frozenSplit"/>
      <selection pane="topRight" activeCell="M1" sqref="M1"/>
      <selection pane="bottomLeft" activeCell="A17" sqref="A17"/>
      <selection pane="bottomRight" activeCell="Q17" sqref="Q17"/>
    </sheetView>
  </sheetViews>
  <sheetFormatPr baseColWidth="8" defaultColWidth="9.1796875" defaultRowHeight="14.5" outlineLevelRow="2"/>
  <cols>
    <col width="1" customWidth="1" style="94" min="1" max="1"/>
    <col width="1" customWidth="1" style="11" min="2" max="2"/>
    <col width="1" customWidth="1" style="80" min="3" max="5"/>
    <col collapsed="1" width="3" customWidth="1" style="80" min="6" max="6"/>
    <col hidden="1" outlineLevel="1" width="8.54296875" customWidth="1" style="19" min="7" max="7"/>
    <col hidden="1" outlineLevel="1" width="8.453125" customWidth="1" style="19" min="8" max="8"/>
    <col hidden="1" outlineLevel="1" width="7.1796875" customWidth="1" style="19" min="9" max="9"/>
    <col hidden="1" outlineLevel="1" width="7.7265625" customWidth="1" style="19" min="10" max="10"/>
    <col hidden="1" outlineLevel="1" width="37.453125" customWidth="1" style="19" min="11" max="11"/>
    <col width="3.81640625" customWidth="1" style="19" min="12" max="12"/>
    <col width="5.7265625" customWidth="1" style="293" min="13" max="13"/>
    <col width="42.7265625" customWidth="1" style="27" min="14" max="14"/>
    <col width="13.1796875" customWidth="1" style="27" min="15" max="15"/>
    <col width="17.1796875" customWidth="1" style="19" min="16" max="16"/>
    <col width="7" customWidth="1" style="19" min="17" max="17"/>
    <col width="6.453125" customWidth="1" style="19" min="18" max="18"/>
    <col width="12" customWidth="1" style="19" min="19" max="19"/>
    <col width="10.7265625" customWidth="1" style="19" min="20" max="20"/>
    <col outlineLevel="1" width="6.81640625" customWidth="1" style="19" min="21" max="21"/>
    <col outlineLevel="1" width="6.1796875" customWidth="1" style="19" min="22" max="22"/>
    <col outlineLevel="1" width="6" customWidth="1" style="19" min="23" max="23"/>
    <col outlineLevel="1" width="11.7265625" customWidth="1" style="19" min="24" max="24"/>
    <col outlineLevel="1" width="11" customWidth="1" style="19" min="25" max="25"/>
    <col outlineLevel="1" width="6.54296875" customWidth="1" style="19" min="26" max="26"/>
    <col outlineLevel="1" width="11" customWidth="1" style="19" min="27" max="27"/>
    <col width="35.7265625" customWidth="1" style="27" min="28" max="28"/>
    <col width="1.453125" customWidth="1" style="60" min="29" max="29"/>
    <col width="19" customWidth="1" style="60" min="30" max="30"/>
    <col width="9.1796875" customWidth="1" style="19" min="31" max="16384"/>
  </cols>
  <sheetData>
    <row r="1" ht="4.5" customFormat="1" customHeight="1" s="11">
      <c r="A1" s="94" t="n"/>
      <c r="B1" s="11" t="n"/>
      <c r="C1" s="78" t="n"/>
      <c r="D1" s="78" t="n"/>
      <c r="E1" s="78" t="n"/>
      <c r="F1" s="78" t="n"/>
      <c r="M1" s="287" t="n"/>
      <c r="N1" s="60" t="n"/>
      <c r="O1" s="60" t="n"/>
      <c r="AB1" s="60" t="n"/>
      <c r="AC1" s="60" t="n"/>
      <c r="AD1" s="60" t="n"/>
    </row>
    <row r="2" ht="4.5" customFormat="1" customHeight="1" s="11">
      <c r="A2" s="94" t="n"/>
      <c r="B2" s="11" t="n"/>
      <c r="C2" s="321" t="inlineStr">
        <is>
          <t>Choices &amp; Notes</t>
        </is>
      </c>
      <c r="G2" s="147" t="n"/>
      <c r="H2" s="147" t="n"/>
      <c r="I2" s="147" t="n"/>
      <c r="J2" s="147" t="n"/>
      <c r="K2" s="147" t="n"/>
      <c r="L2" s="147" t="n"/>
      <c r="M2" s="276" t="n"/>
      <c r="N2" s="148" t="n"/>
      <c r="O2" s="147" t="n"/>
      <c r="P2" s="147" t="n"/>
      <c r="Q2" s="147" t="n"/>
      <c r="R2" s="147" t="n"/>
      <c r="S2" s="147" t="n"/>
      <c r="T2" s="147" t="n"/>
      <c r="U2" s="147" t="n"/>
      <c r="V2" s="147" t="n"/>
      <c r="W2" s="147" t="n"/>
      <c r="X2" s="147" t="n"/>
      <c r="Y2" s="147" t="n"/>
      <c r="Z2" s="147" t="n"/>
      <c r="AA2" s="147" t="n"/>
      <c r="AB2" s="147" t="n"/>
      <c r="AC2" s="147" t="n"/>
      <c r="AD2" s="60" t="n"/>
    </row>
    <row r="3" ht="23.25" customFormat="1" customHeight="1" s="11">
      <c r="A3" s="94" t="n"/>
      <c r="B3" s="11" t="n"/>
      <c r="G3" s="327" t="inlineStr">
        <is>
          <t>AG Estimation Template -  Version</t>
        </is>
      </c>
      <c r="K3" s="297" t="inlineStr">
        <is>
          <t>2.0.4</t>
        </is>
      </c>
      <c r="L3" s="246" t="n"/>
      <c r="M3" s="277">
        <f>IF(IS_KEY_OPP="Yes", 2, IF(IS_KEY_OPP="No", 0, 1))</f>
        <v/>
      </c>
      <c r="N3" s="196">
        <f>CLIENT_NAME&amp;" - "&amp;PROJECT_NAME&amp;" ("&amp;PLATFORM&amp;" "&amp;PROJECT_TYPE&amp;" Project)"&amp;IF(RFP_NAME&lt;&gt;"", " - "&amp;RFP_NAME, "")</f>
        <v/>
      </c>
      <c r="O3" s="196" t="n"/>
      <c r="P3" s="196" t="n"/>
      <c r="Q3" s="196" t="n"/>
      <c r="R3" s="196" t="n"/>
      <c r="S3" s="197" t="n"/>
      <c r="T3" s="264">
        <f>IF(COUNTIF(AD9:AD203, "Error:*") = 0, "", COUNTIF(AD9:AD203, "Error:*") &amp; " errors")</f>
        <v/>
      </c>
      <c r="U3" s="196" t="n"/>
      <c r="V3" s="196" t="n"/>
      <c r="W3" s="196" t="n"/>
      <c r="X3" s="210" t="inlineStr">
        <is>
          <t>Sales</t>
        </is>
      </c>
      <c r="Y3" s="212" t="inlineStr">
        <is>
          <t>A/c Manager Name</t>
        </is>
      </c>
      <c r="Z3" s="214" t="n"/>
      <c r="AA3" s="213" t="n"/>
      <c r="AB3" s="266" t="n"/>
      <c r="AC3" s="246" t="n"/>
      <c r="AD3" s="60" t="n"/>
    </row>
    <row r="4" ht="4.5" customFormat="1" customHeight="1" s="11">
      <c r="A4" s="94" t="n"/>
      <c r="B4" s="11" t="n"/>
      <c r="G4" s="246" t="n"/>
      <c r="H4" s="246" t="n"/>
      <c r="I4" s="246" t="n"/>
      <c r="J4" s="246" t="n"/>
      <c r="K4" s="246" t="n"/>
      <c r="L4" s="246" t="n"/>
      <c r="M4" s="278" t="n"/>
      <c r="N4" s="96" t="n"/>
      <c r="O4" s="246" t="n"/>
      <c r="P4" s="246" t="n"/>
      <c r="Q4" s="198" t="n"/>
      <c r="R4" s="246" t="n"/>
      <c r="S4" s="199" t="n"/>
      <c r="T4" s="265" t="n"/>
      <c r="U4" s="196" t="n"/>
      <c r="V4" s="196" t="n"/>
      <c r="W4" s="196" t="n"/>
      <c r="X4" s="211" t="n"/>
      <c r="Y4" s="212" t="n"/>
      <c r="Z4" s="214" t="n"/>
      <c r="AA4" s="214" t="n"/>
      <c r="AB4" s="246" t="n"/>
      <c r="AC4" s="246" t="n"/>
      <c r="AD4" s="60" t="n"/>
    </row>
    <row r="5" ht="20.25" customFormat="1" customHeight="1" s="11">
      <c r="A5" s="94" t="n"/>
      <c r="B5" s="11" t="n"/>
      <c r="G5" s="246" t="n"/>
      <c r="H5" s="218" t="n"/>
      <c r="I5" s="218" t="inlineStr">
        <is>
          <t>Last updated:</t>
        </is>
      </c>
      <c r="J5" s="328" t="n">
        <v>42565</v>
      </c>
      <c r="L5" s="246" t="n"/>
      <c r="M5" s="278" t="n"/>
      <c r="N5" s="345">
        <f>IF(TOTAL_EFFORT&lt;=0, "", CHOSEN_CURRENCY&amp;" "&amp;TEXT(CEILING(($W$233/1000),1),"##,##,###")&amp;" K  ●  "&amp;TEXT(TOTAL_EFFORT,"##,##,###")&amp;" PDs ("&amp;TEXT(TOTAL_WEEKS,"##,###"&amp;" Wk)"))</f>
        <v/>
      </c>
      <c r="O5" s="248" t="n"/>
      <c r="P5" s="247" t="n"/>
      <c r="Q5" s="254" t="n"/>
      <c r="R5" s="193" t="inlineStr">
        <is>
          <t>Effort:</t>
        </is>
      </c>
      <c r="S5" s="194" t="inlineStr">
        <is>
          <t>No Change</t>
        </is>
      </c>
      <c r="T5" s="195" t="n">
        <v>0.25</v>
      </c>
      <c r="U5" s="196" t="n"/>
      <c r="V5" s="196" t="n"/>
      <c r="W5" s="196" t="n"/>
      <c r="X5" s="210" t="inlineStr">
        <is>
          <t>Presales</t>
        </is>
      </c>
      <c r="Y5" s="212" t="inlineStr">
        <is>
          <t>Presales Member Name</t>
        </is>
      </c>
      <c r="Z5" s="213" t="n"/>
      <c r="AA5" s="213" t="n"/>
      <c r="AB5" s="329" t="inlineStr">
        <is>
          <t>Effort estimates are based on high level of analysis and may change on detailed analysis.</t>
        </is>
      </c>
      <c r="AC5" s="97" t="n"/>
      <c r="AD5" s="60" t="n"/>
    </row>
    <row r="6" ht="20.25" customFormat="1" customHeight="1" s="11">
      <c r="A6" s="94" t="n"/>
      <c r="B6" s="11" t="n"/>
      <c r="G6" s="246" t="n"/>
      <c r="H6" s="218" t="n"/>
      <c r="I6" s="218" t="inlineStr">
        <is>
          <t>Last updated by:</t>
        </is>
      </c>
      <c r="J6" s="246" t="inlineStr">
        <is>
          <t>Mohit Bhardwaj</t>
        </is>
      </c>
      <c r="K6" s="246" t="n"/>
      <c r="L6" s="246" t="n"/>
      <c r="M6" s="279" t="n"/>
      <c r="N6" s="346">
        <f>IF(TOTAL_EFFORT&lt;=0, "", "Auto: "&amp;DURATION&amp;" Wk  ("&amp;CEILING(DURATION/4,0.5)&amp;" M)"&amp;", Manual: "&amp;MANUAL_DURATION&amp;" Wk ("&amp;CEILING(MANUAL_DURATION/4,0.5)&amp;" M)")</f>
        <v/>
      </c>
      <c r="O6" s="249" t="n"/>
      <c r="P6" s="247" t="n"/>
      <c r="Q6" s="245" t="n"/>
      <c r="R6" s="150" t="inlineStr">
        <is>
          <t>Optionals:</t>
        </is>
      </c>
      <c r="S6" s="179" t="inlineStr">
        <is>
          <t>Include</t>
        </is>
      </c>
      <c r="T6" s="180" t="n"/>
      <c r="U6" s="196" t="n"/>
      <c r="V6" s="196" t="n"/>
      <c r="W6" s="196" t="n"/>
      <c r="X6" s="210" t="inlineStr">
        <is>
          <t>AG</t>
        </is>
      </c>
      <c r="Y6" s="212" t="inlineStr">
        <is>
          <t>TA Name</t>
        </is>
      </c>
      <c r="Z6" s="213" t="n"/>
      <c r="AA6" s="213" t="n"/>
      <c r="AC6" s="97" t="n"/>
      <c r="AD6" s="60" t="n"/>
    </row>
    <row r="7" ht="4.5" customFormat="1" customHeight="1" s="11">
      <c r="A7" s="94" t="n"/>
      <c r="B7" s="11" t="n"/>
      <c r="G7" s="246" t="n"/>
      <c r="H7" s="246" t="n"/>
      <c r="I7" s="246" t="n"/>
      <c r="J7" s="246" t="n"/>
      <c r="K7" s="246" t="n"/>
      <c r="L7" s="246" t="n"/>
      <c r="M7" s="278" t="n"/>
      <c r="N7" s="96" t="n"/>
      <c r="O7" s="246" t="n"/>
      <c r="P7" s="246" t="n"/>
      <c r="Q7" s="246" t="n"/>
      <c r="R7" s="246" t="n"/>
      <c r="S7" s="246" t="n"/>
      <c r="T7" s="246" t="n"/>
      <c r="U7" s="246" t="n"/>
      <c r="V7" s="246" t="n"/>
      <c r="W7" s="246" t="n"/>
      <c r="X7" s="246" t="n"/>
      <c r="Y7" s="246" t="n"/>
      <c r="Z7" s="246" t="n"/>
      <c r="AA7" s="246" t="n"/>
      <c r="AB7" s="246" t="n"/>
      <c r="AC7" s="246" t="n"/>
      <c r="AD7" s="60" t="n"/>
    </row>
    <row r="8" ht="1.5" customFormat="1" customHeight="1" s="11">
      <c r="A8" s="94" t="n"/>
      <c r="B8" s="11" t="n"/>
      <c r="G8" s="13" t="n"/>
      <c r="H8" s="13" t="n"/>
      <c r="I8" s="13" t="n"/>
      <c r="J8" s="13" t="n"/>
      <c r="K8" s="13" t="n"/>
      <c r="L8" s="13" t="n"/>
      <c r="M8" s="280" t="n"/>
      <c r="N8" s="13" t="n"/>
      <c r="O8" s="13" t="n"/>
      <c r="P8" s="13" t="n"/>
      <c r="Q8" s="13" t="n"/>
      <c r="R8" s="13" t="n"/>
      <c r="S8" s="13" t="n"/>
      <c r="T8" s="13" t="n"/>
      <c r="U8" s="13" t="n"/>
      <c r="V8" s="13" t="n"/>
      <c r="W8" s="13" t="n"/>
      <c r="X8" s="13" t="n"/>
      <c r="Y8" s="13" t="n"/>
      <c r="Z8" s="13" t="n"/>
      <c r="AA8" s="13" t="n"/>
      <c r="AB8" s="60" t="n"/>
      <c r="AC8" s="60" t="n"/>
      <c r="AD8" s="60" t="n"/>
    </row>
    <row r="9" ht="15" customFormat="1" customHeight="1" s="11">
      <c r="A9" s="94" t="n"/>
      <c r="B9" s="11" t="n"/>
      <c r="G9" s="323" t="inlineStr">
        <is>
          <t>Choices</t>
        </is>
      </c>
      <c r="H9" s="347" t="n"/>
      <c r="I9" s="347" t="n"/>
      <c r="J9" s="347" t="n"/>
      <c r="K9" s="166" t="n"/>
      <c r="L9" s="154" t="n"/>
      <c r="M9" s="281" t="n"/>
      <c r="N9" s="43" t="n"/>
      <c r="O9" s="43" t="n"/>
      <c r="P9" s="43" t="n"/>
      <c r="Q9" s="244" t="n"/>
      <c r="R9" s="251" t="inlineStr">
        <is>
          <t>Copy Image:</t>
        </is>
      </c>
      <c r="S9" s="208" t="inlineStr">
        <is>
          <t>Compact</t>
        </is>
      </c>
      <c r="T9" s="208" t="inlineStr">
        <is>
          <t>Full</t>
        </is>
      </c>
      <c r="U9" s="244" t="n"/>
      <c r="V9" s="244" t="n"/>
      <c r="W9" s="244" t="n"/>
      <c r="X9" s="43" t="n"/>
      <c r="Y9" s="43" t="n"/>
      <c r="Z9" s="43" t="n"/>
      <c r="AA9" s="43" t="n"/>
      <c r="AB9" s="153" t="inlineStr">
        <is>
          <t>Read Help for more details.</t>
        </is>
      </c>
      <c r="AC9" s="43" t="n"/>
      <c r="AD9" s="60" t="n"/>
    </row>
    <row r="10" ht="13.5" customFormat="1" customHeight="1" s="11">
      <c r="A10" s="94" t="inlineStr">
        <is>
          <t>W0</t>
        </is>
      </c>
      <c r="B10" s="11" t="n"/>
      <c r="C10" s="322" t="inlineStr">
        <is>
          <t>→</t>
        </is>
      </c>
      <c r="G10" s="183" t="inlineStr">
        <is>
          <t>Mark as</t>
        </is>
      </c>
      <c r="H10" s="49" t="inlineStr">
        <is>
          <t>Add</t>
        </is>
      </c>
      <c r="I10" s="183" t="n"/>
      <c r="J10" s="184" t="n"/>
      <c r="K10" s="50" t="n"/>
      <c r="L10" s="138" t="n"/>
      <c r="M10" s="282" t="n"/>
      <c r="N10" s="40" t="n"/>
      <c r="O10" s="191" t="n"/>
      <c r="P10" s="348" t="inlineStr">
        <is>
          <t>Unit</t>
        </is>
      </c>
      <c r="Q10" s="347" t="n"/>
      <c r="R10" s="349" t="n"/>
      <c r="S10" s="41" t="n"/>
      <c r="T10" s="250" t="n"/>
      <c r="U10" s="348" t="inlineStr">
        <is>
          <t>Complexity %</t>
        </is>
      </c>
      <c r="V10" s="347" t="n"/>
      <c r="W10" s="349" t="n"/>
      <c r="X10" s="252" t="inlineStr">
        <is>
          <t>PDs / 1 M*</t>
        </is>
      </c>
      <c r="Y10" s="69" t="n"/>
      <c r="Z10" s="42" t="n"/>
      <c r="AA10" s="221" t="n"/>
      <c r="AB10" s="40" t="n"/>
      <c r="AC10" s="40" t="n"/>
      <c r="AD10" s="60" t="n"/>
    </row>
    <row r="11" ht="15" customFormat="1" customHeight="1" s="11">
      <c r="A11" s="94" t="inlineStr">
        <is>
          <t>W1</t>
        </is>
      </c>
      <c r="B11" s="11" t="n"/>
      <c r="C11" s="322" t="inlineStr">
        <is>
          <t>←</t>
        </is>
      </c>
      <c r="G11" s="319" t="inlineStr">
        <is>
          <t>Optional</t>
        </is>
      </c>
      <c r="H11" s="51" t="inlineStr">
        <is>
          <t>Buffer</t>
        </is>
      </c>
      <c r="I11" s="319" t="inlineStr">
        <is>
          <t>Extras</t>
        </is>
      </c>
      <c r="J11" s="51" t="inlineStr">
        <is>
          <t>Exclude</t>
        </is>
      </c>
      <c r="K11" s="7" t="inlineStr">
        <is>
          <t>Notes</t>
        </is>
      </c>
      <c r="L11" s="77" t="n"/>
      <c r="M11" s="283" t="inlineStr">
        <is>
          <t>Tasks</t>
        </is>
      </c>
      <c r="N11" s="77" t="n"/>
      <c r="O11" s="192" t="inlineStr">
        <is>
          <t>RFP Mapping</t>
        </is>
      </c>
      <c r="P11" s="7" t="inlineStr">
        <is>
          <t>Name</t>
        </is>
      </c>
      <c r="Q11" s="52" t="inlineStr">
        <is>
          <t>#</t>
        </is>
      </c>
      <c r="R11" s="51" t="inlineStr">
        <is>
          <t>x N</t>
        </is>
      </c>
      <c r="S11" s="320" t="inlineStr">
        <is>
          <t>Effort (PDs)</t>
        </is>
      </c>
      <c r="T11" s="350" t="n"/>
      <c r="U11" s="319" t="inlineStr">
        <is>
          <t>H</t>
        </is>
      </c>
      <c r="V11" s="319" t="inlineStr">
        <is>
          <t>M*</t>
        </is>
      </c>
      <c r="W11" s="319" t="inlineStr">
        <is>
          <t>L</t>
        </is>
      </c>
      <c r="X11" s="51" t="inlineStr">
        <is>
          <t>Unit</t>
        </is>
      </c>
      <c r="Y11" s="7" t="inlineStr">
        <is>
          <t>Calculated</t>
        </is>
      </c>
      <c r="Z11" s="51" t="inlineStr">
        <is>
          <t xml:space="preserve"> (+/-)</t>
        </is>
      </c>
      <c r="AA11" s="51" t="inlineStr">
        <is>
          <t>w Extras</t>
        </is>
      </c>
      <c r="AB11" s="190" t="inlineStr">
        <is>
          <t>Out of scope / Assumptions</t>
        </is>
      </c>
      <c r="AC11" s="6" t="n"/>
      <c r="AD11" s="60" t="n"/>
    </row>
    <row r="12" ht="18.5" customFormat="1" customHeight="1" s="17">
      <c r="A12" s="94" t="inlineStr">
        <is>
          <t>S1</t>
        </is>
      </c>
      <c r="B12" s="15" t="n"/>
      <c r="C12" s="325" t="inlineStr">
        <is>
          <t>↑</t>
        </is>
      </c>
      <c r="F12" s="325" t="inlineStr">
        <is>
          <t>↓</t>
        </is>
      </c>
      <c r="G12" s="55" t="n"/>
      <c r="H12" s="55" t="n"/>
      <c r="I12" s="55" t="n"/>
      <c r="J12" s="55" t="n"/>
      <c r="K12" s="55" t="n"/>
      <c r="L12" s="55" t="inlineStr">
        <is>
          <t>A</t>
        </is>
      </c>
      <c r="M12" s="284" t="inlineStr">
        <is>
          <t>Phase 1: Discovery &amp; Requirements (eCommerce)</t>
        </is>
      </c>
      <c r="N12" s="215" t="n"/>
      <c r="O12" s="57" t="n"/>
      <c r="P12" s="58" t="n"/>
      <c r="Q12" s="58" t="n"/>
      <c r="R12" s="58" t="n"/>
      <c r="S12" s="351">
        <f>CEILING(SUMIF(J13:J64, "&lt;&gt;Yes", T13:T64),1)</f>
        <v/>
      </c>
      <c r="U12" s="58" t="n"/>
      <c r="V12" s="58" t="n"/>
      <c r="W12" s="58" t="n"/>
      <c r="X12" s="58" t="n"/>
      <c r="Y12" s="58" t="n"/>
      <c r="Z12" s="58" t="n"/>
      <c r="AA12" s="58" t="n"/>
      <c r="AB12" s="58" t="n"/>
      <c r="AC12" s="58" t="n"/>
      <c r="AD12" s="16" t="n"/>
    </row>
    <row r="13" outlineLevel="1" ht="3" customFormat="1" customHeight="1" s="11">
      <c r="A13" s="94" t="inlineStr">
        <is>
          <t>S2</t>
        </is>
      </c>
      <c r="B13" s="18" t="n"/>
      <c r="C13" s="202" t="n"/>
      <c r="D13" s="202" t="n"/>
      <c r="E13" s="202" t="n"/>
      <c r="F13" s="202" t="n"/>
      <c r="G13" s="241" t="n"/>
      <c r="H13" s="241" t="n"/>
      <c r="I13" s="241" t="n"/>
      <c r="J13" s="241" t="n"/>
      <c r="K13" s="241" t="n"/>
      <c r="L13" s="29" t="n">
        <v>0</v>
      </c>
      <c r="M13" s="285" t="n"/>
      <c r="N13" s="241" t="n"/>
      <c r="O13" s="241" t="n"/>
      <c r="P13" s="241" t="n"/>
      <c r="Q13" s="241" t="n"/>
      <c r="R13" s="241" t="n"/>
      <c r="S13" s="241" t="n"/>
      <c r="T13" s="30" t="n"/>
      <c r="U13" s="241" t="n"/>
      <c r="V13" s="241" t="n"/>
      <c r="W13" s="241" t="n"/>
      <c r="X13" s="30" t="n"/>
      <c r="Y13" s="241" t="n"/>
      <c r="Z13" s="241" t="n"/>
      <c r="AA13" s="241" t="n"/>
      <c r="AB13" s="103" t="n"/>
      <c r="AC13" s="103" t="n"/>
      <c r="AD13" s="60" t="n"/>
    </row>
    <row r="14" outlineLevel="1" ht="15.5" customFormat="1" customHeight="1" s="17">
      <c r="A14" s="94" t="inlineStr">
        <is>
          <t>T1</t>
        </is>
      </c>
      <c r="B14" s="21" t="n"/>
      <c r="C14" s="84" t="n"/>
      <c r="D14" s="84" t="n"/>
      <c r="E14" s="84" t="n"/>
      <c r="F14" s="83" t="n"/>
      <c r="G14" s="32" t="n"/>
      <c r="H14" s="32" t="n"/>
      <c r="I14" s="32" t="n"/>
      <c r="J14" s="32" t="n"/>
      <c r="K14" s="32" t="n"/>
      <c r="L14" s="20">
        <f>LOOKUP(1000,INDIRECT("L1:"&amp;CELL("address",INDIRECT("R[-1]C",FALSE))))+1</f>
        <v/>
      </c>
      <c r="M14" s="301" t="inlineStr">
        <is>
          <t>Current system understanding</t>
        </is>
      </c>
      <c r="N14" s="352" t="n"/>
      <c r="O14" s="5" t="n"/>
      <c r="P14" s="33" t="n"/>
      <c r="Q14" s="33" t="n"/>
      <c r="R14" s="33" t="n"/>
      <c r="S14" s="33" t="n"/>
      <c r="T14" s="167">
        <f>IF($S$6="Exclude", SUMIFS(S15:S19, J15:J19, "&lt;&gt;Yes", G15:G19, "&lt;&gt;Yes"), SUMIFS(S15:S19, J15:J19, "&lt;&gt;Yes"))</f>
        <v/>
      </c>
      <c r="U14" s="33" t="n"/>
      <c r="V14" s="33" t="n"/>
      <c r="W14" s="33" t="n"/>
      <c r="X14" s="34" t="n"/>
      <c r="Y14" s="35" t="n"/>
      <c r="Z14" s="35" t="n"/>
      <c r="AA14" s="35" t="n"/>
      <c r="AB14" s="240" t="n"/>
      <c r="AC14" s="36" t="n"/>
      <c r="AD14" s="26">
        <f>IF(M14="", "Error: Task name cannot be empty.", "")</f>
        <v/>
      </c>
    </row>
    <row r="15" outlineLevel="2" ht="1.5" customFormat="1" customHeight="1" s="15">
      <c r="A15" s="94" t="inlineStr">
        <is>
          <t>T2</t>
        </is>
      </c>
      <c r="B15" s="21" t="n"/>
      <c r="C15" s="84" t="n"/>
      <c r="D15" s="84" t="n"/>
      <c r="E15" s="84" t="n"/>
      <c r="F15" s="83" t="n"/>
      <c r="G15" s="32" t="n"/>
      <c r="H15" s="32" t="n"/>
      <c r="I15" s="32" t="n"/>
      <c r="J15" s="32" t="n"/>
      <c r="K15" s="32" t="n"/>
      <c r="L15" s="175">
        <f>L14</f>
        <v/>
      </c>
      <c r="M15" s="176" t="inlineStr">
        <is>
          <t>X</t>
        </is>
      </c>
      <c r="N15" s="173" t="n"/>
      <c r="O15" s="174" t="n"/>
      <c r="P15" s="33" t="n"/>
      <c r="Q15" s="33" t="n"/>
      <c r="R15" s="33" t="n"/>
      <c r="S15" s="33" t="n"/>
      <c r="T15" s="167" t="n"/>
      <c r="U15" s="33" t="n"/>
      <c r="V15" s="33" t="n"/>
      <c r="W15" s="33" t="n"/>
      <c r="X15" s="34" t="n"/>
      <c r="Y15" s="35" t="n"/>
      <c r="Z15" s="35" t="n"/>
      <c r="AA15" s="35" t="n"/>
      <c r="AB15" s="36" t="n"/>
      <c r="AC15" s="36" t="n"/>
      <c r="AD15" s="26" t="n"/>
    </row>
    <row r="16" outlineLevel="2" ht="43.5" customHeight="1" s="232">
      <c r="A16" s="94" t="inlineStr">
        <is>
          <t>A</t>
        </is>
      </c>
      <c r="B16" s="21" t="n"/>
      <c r="C16" s="85" t="n"/>
      <c r="D16" s="85" t="n"/>
      <c r="E16" s="85" t="n"/>
      <c r="F16" s="86" t="n"/>
      <c r="G16" s="22" t="inlineStr">
        <is>
          <t>Yes</t>
        </is>
      </c>
      <c r="H16" s="22" t="inlineStr">
        <is>
          <t>-</t>
        </is>
      </c>
      <c r="I16" s="23" t="inlineStr">
        <is>
          <t>-</t>
        </is>
      </c>
      <c r="J16" s="22" t="inlineStr">
        <is>
          <t>-</t>
        </is>
      </c>
      <c r="K16" s="38" t="inlineStr">
        <is>
          <t>&gt;&gt; Valid for re-engineering task only
&gt;&gt; Technical understanding of current overall system and architecture.</t>
        </is>
      </c>
      <c r="L16" s="22" t="n"/>
      <c r="M16" s="286">
        <f>IFERROR(OFFSET(M16,-1,,1,1)+0.1,OFFSET(M16,-1,-1,1,1)&amp;".1")</f>
        <v/>
      </c>
      <c r="N16" s="23" t="inlineStr">
        <is>
          <t>Analysis of existing system architecture</t>
        </is>
      </c>
      <c r="O16" s="23" t="n"/>
      <c r="P16" s="23" t="n"/>
      <c r="Q16" s="144" t="n">
        <v>2</v>
      </c>
      <c r="R16" s="137" t="n"/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/>
      </c>
      <c r="T16" s="170" t="n"/>
      <c r="U16" s="24" t="n">
        <v>0</v>
      </c>
      <c r="V16" s="24" t="n">
        <v>1</v>
      </c>
      <c r="W16" s="24" t="n">
        <v>0</v>
      </c>
      <c r="X16" s="168" t="n"/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/>
      </c>
      <c r="Z16" s="25" t="n"/>
      <c r="AA16" s="169">
        <f>Y16+Y16*VLOOKUP(I16,EXTRAS_ARRAY,2,FALSE)</f>
        <v/>
      </c>
      <c r="AB16" s="23" t="n"/>
      <c r="AC16" s="37" t="n"/>
      <c r="AD16" s="26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outlineLevel="2" ht="43.5" customHeight="1" s="232">
      <c r="A17" s="94" t="inlineStr">
        <is>
          <t>A</t>
        </is>
      </c>
      <c r="B17" s="21" t="n"/>
      <c r="C17" s="85" t="n"/>
      <c r="D17" s="85" t="n"/>
      <c r="E17" s="85" t="n"/>
      <c r="F17" s="86" t="n"/>
      <c r="G17" s="22" t="inlineStr">
        <is>
          <t>-</t>
        </is>
      </c>
      <c r="H17" s="22" t="inlineStr">
        <is>
          <t>-</t>
        </is>
      </c>
      <c r="I17" s="23" t="inlineStr">
        <is>
          <t>-</t>
        </is>
      </c>
      <c r="J17" s="22" t="inlineStr">
        <is>
          <t>-</t>
        </is>
      </c>
      <c r="K17" s="38" t="n"/>
      <c r="L17" s="22" t="n"/>
      <c r="M17" s="286">
        <f>IFERROR(OFFSET(M17,-1,,1,1)+0.1,OFFSET(M17,-1,-1,1,1)&amp;".1")</f>
        <v/>
      </c>
      <c r="N17" s="23" t="inlineStr">
        <is>
          <t xml:space="preserve">Business process understanding and verification
&gt;&gt; </t>
        </is>
      </c>
      <c r="O17" s="23" t="n"/>
      <c r="P17" s="23" t="n"/>
      <c r="Q17" s="144" t="n">
        <v>22</v>
      </c>
      <c r="R17" s="137" t="n"/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/>
      </c>
      <c r="T17" s="170" t="n"/>
      <c r="U17" s="24" t="n">
        <v>0</v>
      </c>
      <c r="V17" s="24" t="n">
        <v>1</v>
      </c>
      <c r="W17" s="24" t="n">
        <v>0</v>
      </c>
      <c r="X17" s="168" t="n"/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/>
      </c>
      <c r="Z17" s="25" t="n"/>
      <c r="AA17" s="169">
        <f>Y17+Y17*VLOOKUP(I17,EXTRAS_ARRAY,2,FALSE)</f>
        <v/>
      </c>
      <c r="AB17" s="23" t="n"/>
      <c r="AC17" s="37" t="n"/>
      <c r="AD17" s="26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outlineLevel="2" ht="130.5" customHeight="1" s="232">
      <c r="A18" s="94" t="inlineStr">
        <is>
          <t>A</t>
        </is>
      </c>
      <c r="B18" s="21" t="n"/>
      <c r="C18" s="85" t="n"/>
      <c r="D18" s="85" t="n"/>
      <c r="E18" s="85" t="n"/>
      <c r="F18" s="86" t="n"/>
      <c r="G18" s="22" t="inlineStr">
        <is>
          <t>-</t>
        </is>
      </c>
      <c r="H18" s="22" t="inlineStr">
        <is>
          <t>-</t>
        </is>
      </c>
      <c r="I18" s="23" t="inlineStr">
        <is>
          <t>-</t>
        </is>
      </c>
      <c r="J18" s="22" t="inlineStr">
        <is>
          <t>-</t>
        </is>
      </c>
      <c r="K18" s="38" t="n"/>
      <c r="L18" s="22" t="n"/>
      <c r="M18" s="286">
        <f>IFERROR(OFFSET(M18,-1,,1,1)+0.1,OFFSET(M18,-1,-1,1,1)&amp;".1")</f>
        <v/>
      </c>
      <c r="N18" s="23" t="inlineStr">
        <is>
          <t xml:space="preserve">Understand Stakeholder Requirements, Data Analysis
&gt;&gt; Stakeholders Interviews (Business, Technology, Design)
&gt;&gt; Document interview findings, data analysis
&gt;&gt; Client Presentation (Stakeholder Interviews, Analysis)
</t>
        </is>
      </c>
      <c r="O18" s="23" t="n"/>
      <c r="P18" s="23" t="inlineStr">
        <is>
          <t>Based on Total Use Cases
(Filled automatically)</t>
        </is>
      </c>
      <c r="Q18" s="144">
        <f>Total_Use_Cases</f>
        <v/>
      </c>
      <c r="R18" s="137" t="n"/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/>
      </c>
      <c r="T18" s="170" t="n"/>
      <c r="U18" s="24" t="n">
        <v>0</v>
      </c>
      <c r="V18" s="24" t="n">
        <v>1</v>
      </c>
      <c r="W18" s="24" t="n">
        <v>0</v>
      </c>
      <c r="X18" s="168" t="n"/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/>
      </c>
      <c r="Z18" s="25" t="n"/>
      <c r="AA18" s="169">
        <f>Y18+Y18*VLOOKUP(I18,EXTRAS_ARRAY,2,FALSE)</f>
        <v/>
      </c>
      <c r="AB18" s="23" t="n"/>
      <c r="AC18" s="37" t="n"/>
      <c r="AD18" s="26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outlineLevel="2" ht="7.5" customFormat="1" customHeight="1" s="11">
      <c r="A19" s="94" t="inlineStr">
        <is>
          <t>T3</t>
        </is>
      </c>
      <c r="B19" s="18" t="n"/>
      <c r="C19" s="78" t="n"/>
      <c r="D19" s="78" t="n"/>
      <c r="E19" s="78" t="n"/>
      <c r="F19" s="78" t="n"/>
      <c r="G19" s="11" t="n"/>
      <c r="H19" s="11" t="n"/>
      <c r="I19" s="11" t="n"/>
      <c r="J19" s="11" t="n"/>
      <c r="K19" s="11" t="n"/>
      <c r="L19" s="11" t="n"/>
      <c r="M19" s="287" t="n"/>
      <c r="N19" s="11" t="n"/>
      <c r="O19" s="11" t="n"/>
      <c r="P19" s="11" t="n"/>
      <c r="Q19" s="11" t="n"/>
      <c r="R19" s="11" t="n"/>
      <c r="S19" s="11" t="n"/>
      <c r="T19" s="18" t="n"/>
      <c r="U19" s="11" t="n"/>
      <c r="V19" s="11" t="n"/>
      <c r="W19" s="11" t="n"/>
      <c r="X19" s="18" t="n"/>
      <c r="Y19" s="11" t="n"/>
      <c r="Z19" s="11" t="n"/>
      <c r="AA19" s="11" t="n"/>
      <c r="AB19" s="60" t="n"/>
      <c r="AC19" s="60" t="n"/>
      <c r="AD19" s="60" t="n"/>
    </row>
    <row r="20" outlineLevel="1" collapsed="1" ht="15.5" customFormat="1" customHeight="1" s="17">
      <c r="A20" s="94" t="inlineStr">
        <is>
          <t>T1</t>
        </is>
      </c>
      <c r="B20" s="21" t="n"/>
      <c r="C20" s="84" t="n"/>
      <c r="D20" s="84" t="n"/>
      <c r="E20" s="84" t="n"/>
      <c r="F20" s="83" t="n"/>
      <c r="G20" s="32" t="n"/>
      <c r="H20" s="32" t="n"/>
      <c r="I20" s="32" t="n"/>
      <c r="J20" s="32" t="n"/>
      <c r="K20" s="32" t="n"/>
      <c r="L20" s="20">
        <f>LOOKUP(1000,INDIRECT("L1:"&amp;CELL("address",INDIRECT("R[-1]C",FALSE))))+1</f>
        <v/>
      </c>
      <c r="M20" s="301" t="inlineStr">
        <is>
          <t>Requirement analysis</t>
        </is>
      </c>
      <c r="N20" s="352" t="n"/>
      <c r="O20" s="5" t="n"/>
      <c r="P20" s="33" t="n"/>
      <c r="Q20" s="33" t="n"/>
      <c r="R20" s="33" t="n"/>
      <c r="S20" s="33" t="n"/>
      <c r="T20" s="167">
        <f>IF($S$6="Exclude", SUMIFS(S21:S25, J21:J25, "&lt;&gt;Yes", G21:G25, "&lt;&gt;Yes"), SUMIFS(S21:S25, J21:J25, "&lt;&gt;Yes"))</f>
        <v/>
      </c>
      <c r="U20" s="33" t="n"/>
      <c r="V20" s="33" t="n"/>
      <c r="W20" s="33" t="n"/>
      <c r="X20" s="34" t="n"/>
      <c r="Y20" s="35" t="n"/>
      <c r="Z20" s="35" t="n"/>
      <c r="AA20" s="35" t="n"/>
      <c r="AB20" s="240" t="n"/>
      <c r="AC20" s="36" t="n"/>
      <c r="AD20" s="26">
        <f>IF(M20="", "Error: Task name cannot be empty.", "")</f>
        <v/>
      </c>
    </row>
    <row r="21" hidden="1" outlineLevel="2" ht="1.5" customFormat="1" customHeight="1" s="15">
      <c r="A21" s="94" t="inlineStr">
        <is>
          <t>T2</t>
        </is>
      </c>
      <c r="B21" s="21" t="n"/>
      <c r="C21" s="84" t="n"/>
      <c r="D21" s="84" t="n"/>
      <c r="E21" s="84" t="n"/>
      <c r="F21" s="83" t="n"/>
      <c r="G21" s="32" t="n"/>
      <c r="H21" s="32" t="n"/>
      <c r="I21" s="32" t="n"/>
      <c r="J21" s="32" t="n"/>
      <c r="K21" s="32" t="n"/>
      <c r="L21" s="175">
        <f>L20</f>
        <v/>
      </c>
      <c r="M21" s="176" t="inlineStr">
        <is>
          <t>X</t>
        </is>
      </c>
      <c r="N21" s="173" t="n"/>
      <c r="O21" s="174" t="n"/>
      <c r="P21" s="33" t="n"/>
      <c r="Q21" s="33" t="n"/>
      <c r="R21" s="33" t="n"/>
      <c r="S21" s="33" t="n"/>
      <c r="T21" s="167" t="n"/>
      <c r="U21" s="33" t="n"/>
      <c r="V21" s="33" t="n"/>
      <c r="W21" s="33" t="n"/>
      <c r="X21" s="34" t="n"/>
      <c r="Y21" s="35" t="n"/>
      <c r="Z21" s="35" t="n"/>
      <c r="AA21" s="35" t="n"/>
      <c r="AB21" s="36" t="n"/>
      <c r="AC21" s="36" t="n"/>
      <c r="AD21" s="26" t="n"/>
    </row>
    <row r="22" hidden="1" outlineLevel="2" ht="43.5" customHeight="1" s="232">
      <c r="A22" s="94" t="inlineStr">
        <is>
          <t>A</t>
        </is>
      </c>
      <c r="B22" s="21" t="n"/>
      <c r="C22" s="85" t="n"/>
      <c r="D22" s="85" t="n"/>
      <c r="E22" s="85" t="n"/>
      <c r="F22" s="86" t="n"/>
      <c r="G22" s="22" t="inlineStr">
        <is>
          <t>-</t>
        </is>
      </c>
      <c r="H22" s="22" t="inlineStr">
        <is>
          <t>-</t>
        </is>
      </c>
      <c r="I22" s="23" t="inlineStr">
        <is>
          <t>-</t>
        </is>
      </c>
      <c r="J22" s="22" t="inlineStr">
        <is>
          <t>-</t>
        </is>
      </c>
      <c r="K22" s="38" t="n"/>
      <c r="L22" s="22" t="n"/>
      <c r="M22" s="286">
        <f>IFERROR(OFFSET(M22,-1,,1,1)+0.1,OFFSET(M22,-1,-1,1,1)&amp;".1")</f>
        <v/>
      </c>
      <c r="N22" s="23" t="inlineStr">
        <is>
          <t>Project Plan and Kick off
&gt;&gt; Team Introductions, Revise Project Schedule, Set Expectations</t>
        </is>
      </c>
      <c r="O22" s="23" t="n"/>
      <c r="P22" s="23" t="n"/>
      <c r="Q22" s="144" t="n"/>
      <c r="R22" s="137" t="n"/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/>
      </c>
      <c r="T22" s="170" t="n"/>
      <c r="U22" s="24" t="n">
        <v>0</v>
      </c>
      <c r="V22" s="24" t="n">
        <v>1</v>
      </c>
      <c r="W22" s="24" t="n">
        <v>0</v>
      </c>
      <c r="X22" s="168" t="n"/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/>
      </c>
      <c r="Z22" s="25" t="n"/>
      <c r="AA22" s="169">
        <f>Y22+Y22*VLOOKUP(I22,EXTRAS_ARRAY,2,FALSE)</f>
        <v/>
      </c>
      <c r="AB22" s="23" t="n"/>
      <c r="AC22" s="37" t="n"/>
      <c r="AD22" s="26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hidden="1" outlineLevel="2" ht="43.5" customHeight="1" s="232">
      <c r="A23" s="94" t="inlineStr">
        <is>
          <t>A</t>
        </is>
      </c>
      <c r="B23" s="21" t="n"/>
      <c r="C23" s="85" t="n"/>
      <c r="D23" s="85" t="n"/>
      <c r="E23" s="85" t="n"/>
      <c r="F23" s="86" t="n"/>
      <c r="G23" s="22" t="inlineStr">
        <is>
          <t>-</t>
        </is>
      </c>
      <c r="H23" s="22" t="inlineStr">
        <is>
          <t>-</t>
        </is>
      </c>
      <c r="I23" s="23" t="inlineStr">
        <is>
          <t>-</t>
        </is>
      </c>
      <c r="J23" s="22" t="inlineStr">
        <is>
          <t>-</t>
        </is>
      </c>
      <c r="K23" s="38" t="n"/>
      <c r="L23" s="22" t="n"/>
      <c r="M23" s="286">
        <f>IFERROR(OFFSET(M23,-1,,1,1)+0.1,OFFSET(M23,-1,-1,1,1)&amp;".1")</f>
        <v/>
      </c>
      <c r="N23" s="23" t="inlineStr">
        <is>
          <t>Analysis for new business requirements</t>
        </is>
      </c>
      <c r="O23" s="23" t="inlineStr">
        <is>
          <t>Total FR's</t>
        </is>
      </c>
      <c r="P23" s="23" t="n"/>
      <c r="Q23" s="144" t="n">
        <v>35</v>
      </c>
      <c r="R23" s="137" t="n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/>
      </c>
      <c r="T23" s="170" t="n"/>
      <c r="U23" s="24" t="n">
        <v>0</v>
      </c>
      <c r="V23" s="24" t="n">
        <v>1</v>
      </c>
      <c r="W23" s="24" t="n">
        <v>0</v>
      </c>
      <c r="X23" s="168" t="n"/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/>
      </c>
      <c r="Z23" s="25" t="n"/>
      <c r="AA23" s="169">
        <f>Y23+Y23*VLOOKUP(I23,EXTRAS_ARRAY,2,FALSE)</f>
        <v/>
      </c>
      <c r="AB23" s="23" t="n"/>
      <c r="AC23" s="37" t="n"/>
      <c r="AD23" s="26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hidden="1" outlineLevel="2" ht="43.5" customHeight="1" s="232">
      <c r="A24" s="94" t="inlineStr">
        <is>
          <t>A</t>
        </is>
      </c>
      <c r="B24" s="21" t="n"/>
      <c r="C24" s="85" t="n"/>
      <c r="D24" s="85" t="n"/>
      <c r="E24" s="85" t="n"/>
      <c r="F24" s="86" t="n"/>
      <c r="G24" s="22" t="inlineStr">
        <is>
          <t>-</t>
        </is>
      </c>
      <c r="H24" s="22" t="inlineStr">
        <is>
          <t>-</t>
        </is>
      </c>
      <c r="I24" s="23" t="inlineStr">
        <is>
          <t>-</t>
        </is>
      </c>
      <c r="J24" s="22" t="inlineStr">
        <is>
          <t>-</t>
        </is>
      </c>
      <c r="K24" s="38" t="inlineStr">
        <is>
          <t>&gt;&gt; Valid for re-engineering task only</t>
        </is>
      </c>
      <c r="L24" s="22" t="n"/>
      <c r="M24" s="286">
        <f>IFERROR(OFFSET(M24,-1,,1,1)+0.1,OFFSET(M24,-1,-1,1,1)&amp;".1")</f>
        <v/>
      </c>
      <c r="N24" s="23" t="inlineStr">
        <is>
          <t>Business process re-engineering
&gt;&gt; Analysis to optimize existing business processes and workflows.</t>
        </is>
      </c>
      <c r="O24" s="23" t="n"/>
      <c r="P24" s="23" t="n"/>
      <c r="Q24" s="144" t="n"/>
      <c r="R24" s="137" t="n"/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/>
      </c>
      <c r="T24" s="170" t="n"/>
      <c r="U24" s="24" t="n">
        <v>0</v>
      </c>
      <c r="V24" s="24" t="n">
        <v>1</v>
      </c>
      <c r="W24" s="24" t="n">
        <v>0</v>
      </c>
      <c r="X24" s="168" t="n"/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/>
      </c>
      <c r="Z24" s="25" t="n"/>
      <c r="AA24" s="169">
        <f>Y24+Y24*VLOOKUP(I24,EXTRAS_ARRAY,2,FALSE)</f>
        <v/>
      </c>
      <c r="AB24" s="23" t="n"/>
      <c r="AC24" s="37" t="n"/>
      <c r="AD24" s="26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hidden="1" outlineLevel="2" ht="7.5" customFormat="1" customHeight="1" s="11">
      <c r="A25" s="94" t="inlineStr">
        <is>
          <t>T3</t>
        </is>
      </c>
      <c r="B25" s="18" t="n"/>
      <c r="C25" s="78" t="n"/>
      <c r="D25" s="78" t="n"/>
      <c r="E25" s="78" t="n"/>
      <c r="F25" s="78" t="n"/>
      <c r="G25" s="11" t="n"/>
      <c r="H25" s="11" t="n"/>
      <c r="I25" s="11" t="n"/>
      <c r="J25" s="11" t="n"/>
      <c r="K25" s="11" t="n"/>
      <c r="L25" s="11" t="n"/>
      <c r="M25" s="287" t="n"/>
      <c r="N25" s="11" t="n"/>
      <c r="O25" s="11" t="n"/>
      <c r="P25" s="11" t="n"/>
      <c r="Q25" s="11" t="n"/>
      <c r="R25" s="11" t="n"/>
      <c r="S25" s="11" t="n"/>
      <c r="T25" s="18" t="n"/>
      <c r="U25" s="11" t="n"/>
      <c r="V25" s="11" t="n"/>
      <c r="W25" s="11" t="n"/>
      <c r="X25" s="18" t="n"/>
      <c r="Y25" s="11" t="n"/>
      <c r="Z25" s="11" t="n"/>
      <c r="AA25" s="11" t="n"/>
      <c r="AB25" s="60" t="n"/>
      <c r="AC25" s="60" t="n"/>
      <c r="AD25" s="60" t="n"/>
    </row>
    <row r="26" outlineLevel="1" collapsed="1" ht="15.5" customFormat="1" customHeight="1" s="17">
      <c r="A26" s="94" t="inlineStr">
        <is>
          <t>T1</t>
        </is>
      </c>
      <c r="B26" s="21" t="n"/>
      <c r="C26" s="84" t="n"/>
      <c r="D26" s="84" t="n"/>
      <c r="E26" s="84" t="n"/>
      <c r="F26" s="83" t="n"/>
      <c r="G26" s="32" t="n"/>
      <c r="H26" s="32" t="n"/>
      <c r="I26" s="32" t="n"/>
      <c r="J26" s="32" t="n"/>
      <c r="K26" s="32" t="n"/>
      <c r="L26" s="20">
        <f>LOOKUP(1000,INDIRECT("L1:"&amp;CELL("address",INDIRECT("R[-1]C",FALSE))))+1</f>
        <v/>
      </c>
      <c r="M26" s="301" t="inlineStr">
        <is>
          <t>Create User Profiles, User Journeys</t>
        </is>
      </c>
      <c r="N26" s="352" t="n"/>
      <c r="O26" s="5" t="n"/>
      <c r="P26" s="33" t="n"/>
      <c r="Q26" s="33" t="n"/>
      <c r="R26" s="33" t="n"/>
      <c r="S26" s="33" t="n"/>
      <c r="T26" s="167">
        <f>IF($S$6="Exclude", SUMIFS(S27:S32, J27:J32, "&lt;&gt;Yes", G27:G32, "&lt;&gt;Yes"), SUMIFS(S27:S32, J27:J32, "&lt;&gt;Yes"))</f>
        <v/>
      </c>
      <c r="U26" s="33" t="n"/>
      <c r="V26" s="33" t="n"/>
      <c r="W26" s="33" t="n"/>
      <c r="X26" s="34" t="n"/>
      <c r="Y26" s="35" t="n"/>
      <c r="Z26" s="35" t="n"/>
      <c r="AA26" s="35" t="n"/>
      <c r="AB26" s="240" t="n"/>
      <c r="AC26" s="36" t="n"/>
      <c r="AD26" s="26">
        <f>IF(M26="", "Error: Task name cannot be empty.", "")</f>
        <v/>
      </c>
    </row>
    <row r="27" hidden="1" outlineLevel="2" ht="1.5" customFormat="1" customHeight="1" s="15">
      <c r="A27" s="94" t="inlineStr">
        <is>
          <t>T2</t>
        </is>
      </c>
      <c r="B27" s="21" t="n"/>
      <c r="C27" s="84" t="n"/>
      <c r="D27" s="84" t="n"/>
      <c r="E27" s="84" t="n"/>
      <c r="F27" s="83" t="n"/>
      <c r="G27" s="32" t="n"/>
      <c r="H27" s="32" t="n"/>
      <c r="I27" s="32" t="n"/>
      <c r="J27" s="32" t="n"/>
      <c r="K27" s="32" t="n"/>
      <c r="L27" s="175">
        <f>L26</f>
        <v/>
      </c>
      <c r="M27" s="176" t="inlineStr">
        <is>
          <t>X</t>
        </is>
      </c>
      <c r="N27" s="173" t="n"/>
      <c r="O27" s="174" t="n"/>
      <c r="P27" s="33" t="n"/>
      <c r="Q27" s="33" t="n"/>
      <c r="R27" s="33" t="n"/>
      <c r="S27" s="33" t="n"/>
      <c r="T27" s="167" t="n"/>
      <c r="U27" s="33" t="n"/>
      <c r="V27" s="33" t="n"/>
      <c r="W27" s="33" t="n"/>
      <c r="X27" s="34" t="n"/>
      <c r="Y27" s="35" t="n"/>
      <c r="Z27" s="35" t="n"/>
      <c r="AA27" s="35" t="n"/>
      <c r="AB27" s="36" t="n"/>
      <c r="AC27" s="36" t="n"/>
      <c r="AD27" s="26" t="n"/>
    </row>
    <row r="28" hidden="1" outlineLevel="2" ht="43.5" customHeight="1" s="232">
      <c r="A28" s="94" t="inlineStr">
        <is>
          <t>A</t>
        </is>
      </c>
      <c r="B28" s="21" t="n"/>
      <c r="C28" s="85" t="n"/>
      <c r="D28" s="85" t="n"/>
      <c r="E28" s="85" t="n"/>
      <c r="F28" s="86" t="n"/>
      <c r="G28" s="22" t="inlineStr">
        <is>
          <t>-</t>
        </is>
      </c>
      <c r="H28" s="22" t="inlineStr">
        <is>
          <t>-</t>
        </is>
      </c>
      <c r="I28" s="23" t="inlineStr">
        <is>
          <t>-</t>
        </is>
      </c>
      <c r="J28" s="22" t="inlineStr">
        <is>
          <t>-</t>
        </is>
      </c>
      <c r="K28" s="38" t="n"/>
      <c r="L28" s="22" t="n"/>
      <c r="M28" s="286">
        <f>IFERROR(OFFSET(M28,-1,,1,1)+0.1,OFFSET(M28,-1,-1,1,1)&amp;".1")</f>
        <v/>
      </c>
      <c r="N28" s="23" t="inlineStr">
        <is>
          <t>Prepare Guide and Interview Users 
&gt;&gt; 10-12) Users</t>
        </is>
      </c>
      <c r="O28" s="23" t="n"/>
      <c r="P28" s="23" t="n"/>
      <c r="Q28" s="144" t="n"/>
      <c r="R28" s="137" t="n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/>
      </c>
      <c r="T28" s="170" t="n"/>
      <c r="U28" s="24" t="n">
        <v>0</v>
      </c>
      <c r="V28" s="24" t="n">
        <v>1</v>
      </c>
      <c r="W28" s="24" t="n">
        <v>0</v>
      </c>
      <c r="X28" s="168" t="n"/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/>
      </c>
      <c r="Z28" s="25" t="n"/>
      <c r="AA28" s="169">
        <f>Y28+Y28*VLOOKUP(I28,EXTRAS_ARRAY,2,FALSE)</f>
        <v/>
      </c>
      <c r="AB28" s="23" t="n"/>
      <c r="AC28" s="37" t="n"/>
      <c r="AD28" s="26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hidden="1" outlineLevel="2" ht="43.5" customHeight="1" s="232">
      <c r="A29" s="94" t="inlineStr">
        <is>
          <t>A</t>
        </is>
      </c>
      <c r="B29" s="21" t="n"/>
      <c r="C29" s="85" t="n"/>
      <c r="D29" s="85" t="n"/>
      <c r="E29" s="85" t="n"/>
      <c r="F29" s="86" t="n"/>
      <c r="G29" s="22" t="inlineStr">
        <is>
          <t>-</t>
        </is>
      </c>
      <c r="H29" s="22" t="inlineStr">
        <is>
          <t>-</t>
        </is>
      </c>
      <c r="I29" s="23" t="inlineStr">
        <is>
          <t>-</t>
        </is>
      </c>
      <c r="J29" s="22" t="inlineStr">
        <is>
          <t>-</t>
        </is>
      </c>
      <c r="K29" s="38" t="n"/>
      <c r="L29" s="22" t="n"/>
      <c r="M29" s="286">
        <f>IFERROR(OFFSET(M29,-1,,1,1)+0.1,OFFSET(M29,-1,-1,1,1)&amp;".1")</f>
        <v/>
      </c>
      <c r="N29" s="23" t="inlineStr">
        <is>
          <t xml:space="preserve">Create User Profiles &amp; Personas </t>
        </is>
      </c>
      <c r="O29" s="23" t="inlineStr">
        <is>
          <t>Iterations</t>
        </is>
      </c>
      <c r="P29" s="23" t="n"/>
      <c r="Q29" s="144" t="n"/>
      <c r="R29" s="137" t="n"/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/>
      </c>
      <c r="T29" s="170" t="n"/>
      <c r="U29" s="24" t="n">
        <v>0</v>
      </c>
      <c r="V29" s="24" t="n">
        <v>1</v>
      </c>
      <c r="W29" s="24" t="n">
        <v>0</v>
      </c>
      <c r="X29" s="168" t="n"/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/>
      </c>
      <c r="Z29" s="25" t="n"/>
      <c r="AA29" s="169">
        <f>Y29+Y29*VLOOKUP(I29,EXTRAS_ARRAY,2,FALSE)</f>
        <v/>
      </c>
      <c r="AB29" s="23" t="n"/>
      <c r="AC29" s="37" t="n"/>
      <c r="AD29" s="26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hidden="1" outlineLevel="2" ht="43.5" customHeight="1" s="232">
      <c r="A30" s="94" t="inlineStr">
        <is>
          <t>A</t>
        </is>
      </c>
      <c r="B30" s="21" t="n"/>
      <c r="C30" s="85" t="n"/>
      <c r="D30" s="85" t="n"/>
      <c r="E30" s="85" t="n"/>
      <c r="F30" s="86" t="n"/>
      <c r="G30" s="22" t="inlineStr">
        <is>
          <t>-</t>
        </is>
      </c>
      <c r="H30" s="22" t="inlineStr">
        <is>
          <t>-</t>
        </is>
      </c>
      <c r="I30" s="23" t="inlineStr">
        <is>
          <t>-</t>
        </is>
      </c>
      <c r="J30" s="22" t="inlineStr">
        <is>
          <t>-</t>
        </is>
      </c>
      <c r="K30" s="38" t="n"/>
      <c r="L30" s="22" t="n"/>
      <c r="M30" s="286">
        <f>IFERROR(OFFSET(M30,-1,,1,1)+0.1,OFFSET(M30,-1,-1,1,1)&amp;".1")</f>
        <v/>
      </c>
      <c r="N30" s="23" t="inlineStr">
        <is>
          <t>Create User Journeys</t>
        </is>
      </c>
      <c r="O30" s="23" t="inlineStr">
        <is>
          <t>Iterations</t>
        </is>
      </c>
      <c r="P30" s="23" t="n"/>
      <c r="Q30" s="144" t="n"/>
      <c r="R30" s="137" t="n"/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/>
      </c>
      <c r="T30" s="170" t="n"/>
      <c r="U30" s="24" t="n">
        <v>0</v>
      </c>
      <c r="V30" s="24" t="n">
        <v>1</v>
      </c>
      <c r="W30" s="24" t="n">
        <v>0</v>
      </c>
      <c r="X30" s="168" t="n"/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/>
      </c>
      <c r="Z30" s="25" t="n"/>
      <c r="AA30" s="169">
        <f>Y30+Y30*VLOOKUP(I30,EXTRAS_ARRAY,2,FALSE)</f>
        <v/>
      </c>
      <c r="AB30" s="23" t="n"/>
      <c r="AC30" s="37" t="n"/>
      <c r="AD30" s="26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hidden="1" outlineLevel="2" ht="43.5" customHeight="1" s="232">
      <c r="A31" s="94" t="inlineStr">
        <is>
          <t>A</t>
        </is>
      </c>
      <c r="B31" s="21" t="n"/>
      <c r="C31" s="85" t="n"/>
      <c r="D31" s="85" t="n"/>
      <c r="E31" s="85" t="n"/>
      <c r="F31" s="86" t="n"/>
      <c r="G31" s="22" t="inlineStr">
        <is>
          <t>-</t>
        </is>
      </c>
      <c r="H31" s="22" t="inlineStr">
        <is>
          <t>-</t>
        </is>
      </c>
      <c r="I31" s="23" t="inlineStr">
        <is>
          <t>-</t>
        </is>
      </c>
      <c r="J31" s="22" t="inlineStr">
        <is>
          <t>-</t>
        </is>
      </c>
      <c r="K31" s="38" t="n"/>
      <c r="L31" s="22" t="n"/>
      <c r="M31" s="286">
        <f>IFERROR(OFFSET(M31,-1,,1,1)+0.1,OFFSET(M31,-1,-1,1,1)&amp;".1")</f>
        <v/>
      </c>
      <c r="N31" s="23" t="inlineStr">
        <is>
          <t>Client Presentation, review and Sign-off
&gt;&gt; Client review iterations and sign-off user profiles, personas &amp; journeys</t>
        </is>
      </c>
      <c r="O31" s="23" t="n"/>
      <c r="P31" s="23" t="n"/>
      <c r="Q31" s="144" t="n"/>
      <c r="R31" s="137" t="n"/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/>
      </c>
      <c r="T31" s="170" t="n"/>
      <c r="U31" s="24" t="n">
        <v>0</v>
      </c>
      <c r="V31" s="24" t="n">
        <v>1</v>
      </c>
      <c r="W31" s="24" t="n">
        <v>0</v>
      </c>
      <c r="X31" s="168" t="n"/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/>
      </c>
      <c r="Z31" s="25" t="n"/>
      <c r="AA31" s="169">
        <f>Y31+Y31*VLOOKUP(I31,EXTRAS_ARRAY,2,FALSE)</f>
        <v/>
      </c>
      <c r="AB31" s="23" t="n"/>
      <c r="AC31" s="37" t="n"/>
      <c r="AD31" s="26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hidden="1" outlineLevel="2" ht="7.5" customFormat="1" customHeight="1" s="11">
      <c r="A32" s="94" t="inlineStr">
        <is>
          <t>T3</t>
        </is>
      </c>
      <c r="B32" s="18" t="n"/>
      <c r="C32" s="78" t="n"/>
      <c r="D32" s="78" t="n"/>
      <c r="E32" s="78" t="n"/>
      <c r="F32" s="78" t="n"/>
      <c r="G32" s="11" t="n"/>
      <c r="H32" s="11" t="n"/>
      <c r="I32" s="11" t="n"/>
      <c r="J32" s="11" t="n"/>
      <c r="K32" s="11" t="n"/>
      <c r="L32" s="11" t="n"/>
      <c r="M32" s="287" t="n"/>
      <c r="N32" s="11" t="n"/>
      <c r="O32" s="11" t="n"/>
      <c r="P32" s="11" t="n"/>
      <c r="Q32" s="11" t="n"/>
      <c r="R32" s="11" t="n"/>
      <c r="S32" s="11" t="n"/>
      <c r="T32" s="18" t="n"/>
      <c r="U32" s="11" t="n"/>
      <c r="V32" s="11" t="n"/>
      <c r="W32" s="11" t="n"/>
      <c r="X32" s="18" t="n"/>
      <c r="Y32" s="11" t="n"/>
      <c r="Z32" s="11" t="n"/>
      <c r="AA32" s="11" t="n"/>
      <c r="AB32" s="60" t="n"/>
      <c r="AC32" s="60" t="n"/>
      <c r="AD32" s="60" t="n"/>
    </row>
    <row r="33" outlineLevel="1" collapsed="1" ht="15.5" customFormat="1" customHeight="1" s="17">
      <c r="A33" s="94" t="inlineStr">
        <is>
          <t>T1</t>
        </is>
      </c>
      <c r="B33" s="21" t="n"/>
      <c r="C33" s="84" t="n"/>
      <c r="D33" s="84" t="n"/>
      <c r="E33" s="84" t="n"/>
      <c r="F33" s="83" t="n"/>
      <c r="G33" s="32" t="n"/>
      <c r="H33" s="32" t="n"/>
      <c r="I33" s="32" t="n"/>
      <c r="J33" s="32" t="n"/>
      <c r="K33" s="32" t="n"/>
      <c r="L33" s="20">
        <f>LOOKUP(1000,INDIRECT("L1:"&amp;CELL("address",INDIRECT("R[-1]C",FALSE))))+1</f>
        <v/>
      </c>
      <c r="M33" s="301" t="inlineStr">
        <is>
          <t>Audit</t>
        </is>
      </c>
      <c r="N33" s="352" t="n"/>
      <c r="O33" s="5" t="n"/>
      <c r="P33" s="33" t="n"/>
      <c r="Q33" s="33" t="n"/>
      <c r="R33" s="33" t="n"/>
      <c r="S33" s="33" t="n"/>
      <c r="T33" s="167">
        <f>IF($S$6="Exclude", SUMIFS(S34:S40, J34:J40, "&lt;&gt;Yes", G34:G40, "&lt;&gt;Yes"), SUMIFS(S34:S40, J34:J40, "&lt;&gt;Yes"))</f>
        <v/>
      </c>
      <c r="U33" s="33" t="n"/>
      <c r="V33" s="33" t="n"/>
      <c r="W33" s="33" t="n"/>
      <c r="X33" s="34" t="n"/>
      <c r="Y33" s="35" t="n"/>
      <c r="Z33" s="35" t="n"/>
      <c r="AA33" s="35" t="n"/>
      <c r="AB33" s="240" t="n"/>
      <c r="AC33" s="36" t="n"/>
      <c r="AD33" s="26">
        <f>IF(M33="", "Error: Task name cannot be empty.", "")</f>
        <v/>
      </c>
    </row>
    <row r="34" hidden="1" outlineLevel="2" ht="1.5" customFormat="1" customHeight="1" s="15">
      <c r="A34" s="94" t="inlineStr">
        <is>
          <t>T2</t>
        </is>
      </c>
      <c r="B34" s="21" t="n"/>
      <c r="C34" s="84" t="n"/>
      <c r="D34" s="84" t="n"/>
      <c r="E34" s="84" t="n"/>
      <c r="F34" s="83" t="n"/>
      <c r="G34" s="32" t="n"/>
      <c r="H34" s="32" t="n"/>
      <c r="I34" s="32" t="n"/>
      <c r="J34" s="32" t="n"/>
      <c r="K34" s="32" t="n"/>
      <c r="L34" s="175">
        <f>L33</f>
        <v/>
      </c>
      <c r="M34" s="176" t="inlineStr">
        <is>
          <t>X</t>
        </is>
      </c>
      <c r="N34" s="173" t="n"/>
      <c r="O34" s="174" t="n"/>
      <c r="P34" s="33" t="n"/>
      <c r="Q34" s="33" t="n"/>
      <c r="R34" s="33" t="n"/>
      <c r="S34" s="33" t="n"/>
      <c r="T34" s="167" t="n"/>
      <c r="U34" s="33" t="n"/>
      <c r="V34" s="33" t="n"/>
      <c r="W34" s="33" t="n"/>
      <c r="X34" s="34" t="n"/>
      <c r="Y34" s="35" t="n"/>
      <c r="Z34" s="35" t="n"/>
      <c r="AA34" s="35" t="n"/>
      <c r="AB34" s="36" t="n"/>
      <c r="AC34" s="36" t="n"/>
      <c r="AD34" s="26" t="n"/>
    </row>
    <row r="35" hidden="1" outlineLevel="2" ht="43.5" customHeight="1" s="232">
      <c r="A35" s="94" t="inlineStr">
        <is>
          <t>A</t>
        </is>
      </c>
      <c r="B35" s="21" t="n"/>
      <c r="C35" s="85" t="n"/>
      <c r="D35" s="85" t="n"/>
      <c r="E35" s="85" t="n"/>
      <c r="F35" s="86" t="n"/>
      <c r="G35" s="22" t="inlineStr">
        <is>
          <t>-</t>
        </is>
      </c>
      <c r="H35" s="22" t="inlineStr">
        <is>
          <t>-</t>
        </is>
      </c>
      <c r="I35" s="23" t="inlineStr">
        <is>
          <t>-</t>
        </is>
      </c>
      <c r="J35" s="22" t="inlineStr">
        <is>
          <t>-</t>
        </is>
      </c>
      <c r="K35" s="38" t="n"/>
      <c r="L35" s="22" t="n"/>
      <c r="M35" s="286">
        <f>IFERROR(OFFSET(M35,-1,,1,1)+0.1,OFFSET(M35,-1,-1,1,1)&amp;".1")</f>
        <v/>
      </c>
      <c r="N35" s="23" t="inlineStr">
        <is>
          <t>Competitor Analysis</t>
        </is>
      </c>
      <c r="O35" s="23" t="inlineStr">
        <is>
          <t>Iterations</t>
        </is>
      </c>
      <c r="P35" s="23" t="n"/>
      <c r="Q35" s="144" t="n"/>
      <c r="R35" s="137" t="n"/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/>
      </c>
      <c r="T35" s="170" t="n"/>
      <c r="U35" s="24" t="n">
        <v>0</v>
      </c>
      <c r="V35" s="24" t="n">
        <v>1</v>
      </c>
      <c r="W35" s="24" t="n">
        <v>0</v>
      </c>
      <c r="X35" s="168" t="n"/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/>
      </c>
      <c r="Z35" s="25" t="n"/>
      <c r="AA35" s="169">
        <f>Y35+Y35*VLOOKUP(I35,EXTRAS_ARRAY,2,FALSE)</f>
        <v/>
      </c>
      <c r="AB35" s="23" t="n"/>
      <c r="AC35" s="37" t="n"/>
      <c r="AD35" s="26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hidden="1" outlineLevel="2" ht="43.5" customHeight="1" s="232">
      <c r="A36" s="94" t="inlineStr">
        <is>
          <t>A</t>
        </is>
      </c>
      <c r="B36" s="21" t="n"/>
      <c r="C36" s="85" t="n"/>
      <c r="D36" s="85" t="n"/>
      <c r="E36" s="85" t="n"/>
      <c r="F36" s="86" t="n"/>
      <c r="G36" s="22" t="inlineStr">
        <is>
          <t>-</t>
        </is>
      </c>
      <c r="H36" s="22" t="inlineStr">
        <is>
          <t>-</t>
        </is>
      </c>
      <c r="I36" s="23" t="inlineStr">
        <is>
          <t>-</t>
        </is>
      </c>
      <c r="J36" s="22" t="inlineStr">
        <is>
          <t>-</t>
        </is>
      </c>
      <c r="K36" s="38" t="n"/>
      <c r="L36" s="22" t="n"/>
      <c r="M36" s="286">
        <f>IFERROR(OFFSET(M36,-1,,1,1)+0.1,OFFSET(M36,-1,-1,1,1)&amp;".1")</f>
        <v/>
      </c>
      <c r="N36" s="23" t="inlineStr">
        <is>
          <t>User Observaions</t>
        </is>
      </c>
      <c r="O36" s="23" t="inlineStr">
        <is>
          <t>Iterations</t>
        </is>
      </c>
      <c r="P36" s="23" t="n"/>
      <c r="Q36" s="144" t="n"/>
      <c r="R36" s="137" t="n"/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/>
      </c>
      <c r="T36" s="170" t="n"/>
      <c r="U36" s="24" t="n">
        <v>0</v>
      </c>
      <c r="V36" s="24" t="n">
        <v>1</v>
      </c>
      <c r="W36" s="24" t="n">
        <v>0</v>
      </c>
      <c r="X36" s="168" t="n"/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/>
      </c>
      <c r="Z36" s="25" t="n"/>
      <c r="AA36" s="169">
        <f>Y36+Y36*VLOOKUP(I36,EXTRAS_ARRAY,2,FALSE)</f>
        <v/>
      </c>
      <c r="AB36" s="23" t="n"/>
      <c r="AC36" s="37" t="n"/>
      <c r="AD36" s="26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hidden="1" outlineLevel="2" ht="43.5" customHeight="1" s="232">
      <c r="A37" s="94" t="inlineStr">
        <is>
          <t>A</t>
        </is>
      </c>
      <c r="B37" s="21" t="n"/>
      <c r="C37" s="85" t="n"/>
      <c r="D37" s="85" t="n"/>
      <c r="E37" s="85" t="n"/>
      <c r="F37" s="86" t="n"/>
      <c r="G37" s="22" t="inlineStr">
        <is>
          <t>-</t>
        </is>
      </c>
      <c r="H37" s="22" t="inlineStr">
        <is>
          <t>-</t>
        </is>
      </c>
      <c r="I37" s="23" t="inlineStr">
        <is>
          <t>-</t>
        </is>
      </c>
      <c r="J37" s="22" t="inlineStr">
        <is>
          <t>-</t>
        </is>
      </c>
      <c r="K37" s="38" t="n"/>
      <c r="L37" s="22" t="n"/>
      <c r="M37" s="286">
        <f>IFERROR(OFFSET(M37,-1,,1,1)+0.1,OFFSET(M37,-1,-1,1,1)&amp;".1")</f>
        <v/>
      </c>
      <c r="N37" s="23" t="inlineStr">
        <is>
          <t>Expert Review</t>
        </is>
      </c>
      <c r="O37" s="23" t="inlineStr">
        <is>
          <t>Iterations</t>
        </is>
      </c>
      <c r="P37" s="23" t="n"/>
      <c r="Q37" s="144" t="n"/>
      <c r="R37" s="137" t="n"/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/>
      </c>
      <c r="T37" s="170" t="n"/>
      <c r="U37" s="24" t="n">
        <v>0</v>
      </c>
      <c r="V37" s="24" t="n">
        <v>1</v>
      </c>
      <c r="W37" s="24" t="n">
        <v>0</v>
      </c>
      <c r="X37" s="168" t="n"/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/>
      </c>
      <c r="Z37" s="25" t="n"/>
      <c r="AA37" s="169">
        <f>Y37+Y37*VLOOKUP(I37,EXTRAS_ARRAY,2,FALSE)</f>
        <v/>
      </c>
      <c r="AB37" s="23" t="n"/>
      <c r="AC37" s="37" t="n"/>
      <c r="AD37" s="26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hidden="1" outlineLevel="2" ht="43.5" customHeight="1" s="232">
      <c r="A38" s="94" t="inlineStr">
        <is>
          <t>A</t>
        </is>
      </c>
      <c r="B38" s="21" t="n"/>
      <c r="C38" s="85" t="n"/>
      <c r="D38" s="85" t="n"/>
      <c r="E38" s="85" t="n"/>
      <c r="F38" s="86" t="n"/>
      <c r="G38" s="22" t="inlineStr">
        <is>
          <t>-</t>
        </is>
      </c>
      <c r="H38" s="22" t="inlineStr">
        <is>
          <t>-</t>
        </is>
      </c>
      <c r="I38" s="23" t="inlineStr">
        <is>
          <t>-</t>
        </is>
      </c>
      <c r="J38" s="22" t="inlineStr">
        <is>
          <t>-</t>
        </is>
      </c>
      <c r="K38" s="38" t="n"/>
      <c r="L38" s="22" t="n"/>
      <c r="M38" s="286">
        <f>IFERROR(OFFSET(M38,-1,,1,1)+0.1,OFFSET(M38,-1,-1,1,1)&amp;".1")</f>
        <v/>
      </c>
      <c r="N38" s="23" t="inlineStr">
        <is>
          <t>Task Anaysis</t>
        </is>
      </c>
      <c r="O38" s="23" t="inlineStr">
        <is>
          <t>Iterations</t>
        </is>
      </c>
      <c r="P38" s="23" t="n"/>
      <c r="Q38" s="144" t="n"/>
      <c r="R38" s="137" t="n"/>
      <c r="S38" s="169">
        <f>CEILING((IF(J38="Yes", 0, IF(H38="-",AA38,AA38+AA38*VLOOKUP(H38,BUFFERS_BY_TYPE,2,FALSE)))) +
   (IF(J38="Yes", 0, IF(H38="-",AA38,AA38+AA38*VLOOKUP(H38,BUFFERS_BY_TYPE,2,FALSE))))*VLOOKUP($S$5, SALES_CALL_SCALE_ARRAY, 2,FALSE),0.25)</f>
        <v/>
      </c>
      <c r="T38" s="170" t="n"/>
      <c r="U38" s="24" t="n">
        <v>0</v>
      </c>
      <c r="V38" s="24" t="n">
        <v>1</v>
      </c>
      <c r="W38" s="24" t="n">
        <v>0</v>
      </c>
      <c r="X38" s="168" t="n"/>
      <c r="Y38" s="169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/>
      </c>
      <c r="Z38" s="25" t="n"/>
      <c r="AA38" s="169">
        <f>Y38+Y38*VLOOKUP(I38,EXTRAS_ARRAY,2,FALSE)</f>
        <v/>
      </c>
      <c r="AB38" s="23" t="n"/>
      <c r="AC38" s="37" t="n"/>
      <c r="AD38" s="26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hidden="1" outlineLevel="2" ht="43.5" customHeight="1" s="232">
      <c r="A39" s="94" t="inlineStr">
        <is>
          <t>A</t>
        </is>
      </c>
      <c r="B39" s="21" t="n"/>
      <c r="C39" s="85" t="n"/>
      <c r="D39" s="85" t="n"/>
      <c r="E39" s="85" t="n"/>
      <c r="F39" s="86" t="n"/>
      <c r="G39" s="22" t="inlineStr">
        <is>
          <t>-</t>
        </is>
      </c>
      <c r="H39" s="22" t="inlineStr">
        <is>
          <t>-</t>
        </is>
      </c>
      <c r="I39" s="23" t="inlineStr">
        <is>
          <t>-</t>
        </is>
      </c>
      <c r="J39" s="22" t="inlineStr">
        <is>
          <t>-</t>
        </is>
      </c>
      <c r="K39" s="38" t="n"/>
      <c r="L39" s="22" t="n"/>
      <c r="M39" s="286">
        <f>IFERROR(OFFSET(M39,-1,,1,1)+0.1,OFFSET(M39,-1,-1,1,1)&amp;".1")</f>
        <v/>
      </c>
      <c r="N39" s="23" t="inlineStr">
        <is>
          <t xml:space="preserve">Client Presentation, review and Sign-off
&gt;&gt; Review &amp; Analysis </t>
        </is>
      </c>
      <c r="O39" s="23" t="n"/>
      <c r="P39" s="23" t="n"/>
      <c r="Q39" s="144" t="n"/>
      <c r="R39" s="137" t="n"/>
      <c r="S39" s="169">
        <f>CEILING((IF(J39="Yes", 0, IF(H39="-",AA39,AA39+AA39*VLOOKUP(H39,BUFFERS_BY_TYPE,2,FALSE)))) +
   (IF(J39="Yes", 0, IF(H39="-",AA39,AA39+AA39*VLOOKUP(H39,BUFFERS_BY_TYPE,2,FALSE))))*VLOOKUP($S$5, SALES_CALL_SCALE_ARRAY, 2,FALSE),0.25)</f>
        <v/>
      </c>
      <c r="T39" s="170" t="n"/>
      <c r="U39" s="24" t="n">
        <v>0</v>
      </c>
      <c r="V39" s="24" t="n">
        <v>1</v>
      </c>
      <c r="W39" s="24" t="n">
        <v>0</v>
      </c>
      <c r="X39" s="168" t="n"/>
      <c r="Y39" s="169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/>
      </c>
      <c r="Z39" s="25" t="n"/>
      <c r="AA39" s="169">
        <f>Y39+Y39*VLOOKUP(I39,EXTRAS_ARRAY,2,FALSE)</f>
        <v/>
      </c>
      <c r="AB39" s="23" t="n"/>
      <c r="AC39" s="37" t="n"/>
      <c r="AD39" s="26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hidden="1" outlineLevel="2" ht="7.5" customFormat="1" customHeight="1" s="11">
      <c r="A40" s="94" t="inlineStr">
        <is>
          <t>T3</t>
        </is>
      </c>
      <c r="B40" s="18" t="n"/>
      <c r="C40" s="78" t="n"/>
      <c r="D40" s="78" t="n"/>
      <c r="E40" s="78" t="n"/>
      <c r="F40" s="78" t="n"/>
      <c r="G40" s="11" t="n"/>
      <c r="H40" s="11" t="n"/>
      <c r="I40" s="11" t="n"/>
      <c r="J40" s="11" t="n"/>
      <c r="K40" s="11" t="n"/>
      <c r="L40" s="11" t="n"/>
      <c r="M40" s="287" t="n"/>
      <c r="N40" s="11" t="n"/>
      <c r="O40" s="11" t="n"/>
      <c r="P40" s="11" t="n"/>
      <c r="Q40" s="11" t="n"/>
      <c r="R40" s="11" t="n"/>
      <c r="S40" s="11" t="n"/>
      <c r="T40" s="18" t="n"/>
      <c r="U40" s="11" t="n"/>
      <c r="V40" s="11" t="n"/>
      <c r="W40" s="11" t="n"/>
      <c r="X40" s="18" t="n"/>
      <c r="Y40" s="11" t="n"/>
      <c r="Z40" s="11" t="n"/>
      <c r="AA40" s="11" t="n"/>
      <c r="AB40" s="60" t="n"/>
      <c r="AC40" s="60" t="n"/>
      <c r="AD40" s="60" t="n"/>
    </row>
    <row r="41" outlineLevel="1" collapsed="1" ht="15.5" customFormat="1" customHeight="1" s="17">
      <c r="A41" s="94" t="inlineStr">
        <is>
          <t>T1</t>
        </is>
      </c>
      <c r="B41" s="21" t="n"/>
      <c r="C41" s="84" t="n"/>
      <c r="D41" s="84" t="n"/>
      <c r="E41" s="84" t="n"/>
      <c r="F41" s="83" t="n"/>
      <c r="G41" s="32" t="n"/>
      <c r="H41" s="32" t="n"/>
      <c r="I41" s="32" t="n"/>
      <c r="J41" s="32" t="n"/>
      <c r="K41" s="32" t="n"/>
      <c r="L41" s="20">
        <f>LOOKUP(1000,INDIRECT("L1:"&amp;CELL("address",INDIRECT("R[-1]C",FALSE))))+1</f>
        <v/>
      </c>
      <c r="M41" s="301" t="inlineStr">
        <is>
          <t>Requirement Documentation and Review</t>
        </is>
      </c>
      <c r="N41" s="352" t="n"/>
      <c r="O41" s="5" t="n"/>
      <c r="P41" s="33" t="n"/>
      <c r="Q41" s="33" t="n"/>
      <c r="R41" s="33" t="n"/>
      <c r="S41" s="33" t="n"/>
      <c r="T41" s="167">
        <f>IF($S$6="Exclude", SUMIFS(S42:S46, J42:J46, "&lt;&gt;Yes", G42:G46, "&lt;&gt;Yes"), SUMIFS(S42:S46, J42:J46, "&lt;&gt;Yes"))</f>
        <v/>
      </c>
      <c r="U41" s="33" t="n"/>
      <c r="V41" s="33" t="n"/>
      <c r="W41" s="33" t="n"/>
      <c r="X41" s="34" t="n"/>
      <c r="Y41" s="35" t="n"/>
      <c r="Z41" s="35" t="n"/>
      <c r="AA41" s="35" t="n"/>
      <c r="AB41" s="240" t="n"/>
      <c r="AC41" s="36" t="n"/>
      <c r="AD41" s="26">
        <f>IF(M41="", "Error: Task name cannot be empty.", "")</f>
        <v/>
      </c>
    </row>
    <row r="42" hidden="1" outlineLevel="2" ht="1.5" customFormat="1" customHeight="1" s="15">
      <c r="A42" s="94" t="inlineStr">
        <is>
          <t>T2</t>
        </is>
      </c>
      <c r="B42" s="21" t="n"/>
      <c r="C42" s="84" t="n"/>
      <c r="D42" s="84" t="n"/>
      <c r="E42" s="84" t="n"/>
      <c r="F42" s="83" t="n"/>
      <c r="G42" s="32" t="n"/>
      <c r="H42" s="32" t="n"/>
      <c r="I42" s="32" t="n"/>
      <c r="J42" s="32" t="n"/>
      <c r="K42" s="32" t="n"/>
      <c r="L42" s="175">
        <f>L41</f>
        <v/>
      </c>
      <c r="M42" s="176" t="inlineStr">
        <is>
          <t>X</t>
        </is>
      </c>
      <c r="N42" s="173" t="n"/>
      <c r="O42" s="174" t="n"/>
      <c r="P42" s="33" t="n"/>
      <c r="Q42" s="33" t="n"/>
      <c r="R42" s="33" t="n"/>
      <c r="S42" s="33" t="n"/>
      <c r="T42" s="167" t="n"/>
      <c r="U42" s="33" t="n"/>
      <c r="V42" s="33" t="n"/>
      <c r="W42" s="33" t="n"/>
      <c r="X42" s="34" t="n"/>
      <c r="Y42" s="35" t="n"/>
      <c r="Z42" s="35" t="n"/>
      <c r="AA42" s="35" t="n"/>
      <c r="AB42" s="36" t="n"/>
      <c r="AC42" s="36" t="n"/>
      <c r="AD42" s="26" t="n"/>
    </row>
    <row r="43" hidden="1" outlineLevel="2" ht="116" customHeight="1" s="232">
      <c r="A43" s="94" t="inlineStr">
        <is>
          <t>A</t>
        </is>
      </c>
      <c r="B43" s="21" t="n"/>
      <c r="C43" s="85" t="n"/>
      <c r="D43" s="85" t="n"/>
      <c r="E43" s="85" t="n"/>
      <c r="F43" s="86" t="n"/>
      <c r="G43" s="22" t="inlineStr">
        <is>
          <t>-</t>
        </is>
      </c>
      <c r="H43" s="22" t="inlineStr">
        <is>
          <t>-</t>
        </is>
      </c>
      <c r="I43" s="23" t="inlineStr">
        <is>
          <t>-</t>
        </is>
      </c>
      <c r="J43" s="22" t="inlineStr">
        <is>
          <t>-</t>
        </is>
      </c>
      <c r="K43" s="38" t="n"/>
      <c r="L43" s="22" t="n"/>
      <c r="M43" s="286">
        <f>IFERROR(OFFSET(M43,-1,,1,1)+0.1,OFFSET(M43,-1,-1,1,1)&amp;".1")</f>
        <v/>
      </c>
      <c r="N43" s="23" t="inlineStr">
        <is>
      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      </is>
      </c>
      <c r="O43" s="23" t="inlineStr">
        <is>
          <t>Name : Total Use Cases
# : Total FR's
xN : Use Case Per FR</t>
        </is>
      </c>
      <c r="P43" s="23">
        <f>Total_FRs * R43</f>
        <v/>
      </c>
      <c r="Q43" s="144">
        <f>Total_FRs</f>
        <v/>
      </c>
      <c r="R43" s="137" t="n">
        <v>0.7</v>
      </c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/>
      </c>
      <c r="T43" s="170" t="n"/>
      <c r="U43" s="24" t="n">
        <v>0</v>
      </c>
      <c r="V43" s="24" t="n">
        <v>1</v>
      </c>
      <c r="W43" s="24" t="n">
        <v>0</v>
      </c>
      <c r="X43" s="168" t="n"/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/>
      </c>
      <c r="Z43" s="25" t="n"/>
      <c r="AA43" s="169">
        <f>Y43+Y43*VLOOKUP(I43,EXTRAS_ARRAY,2,FALSE)</f>
        <v/>
      </c>
      <c r="AB43" s="23" t="n"/>
      <c r="AC43" s="37" t="n"/>
      <c r="AD43" s="26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hidden="1" outlineLevel="2" ht="43.5" customHeight="1" s="232">
      <c r="A44" s="94" t="inlineStr">
        <is>
          <t>A</t>
        </is>
      </c>
      <c r="B44" s="21" t="n"/>
      <c r="C44" s="85" t="n"/>
      <c r="D44" s="85" t="n"/>
      <c r="E44" s="85" t="n"/>
      <c r="F44" s="86" t="n"/>
      <c r="G44" s="22" t="inlineStr">
        <is>
          <t>-</t>
        </is>
      </c>
      <c r="H44" s="22" t="inlineStr">
        <is>
          <t>-</t>
        </is>
      </c>
      <c r="I44" s="23" t="inlineStr">
        <is>
          <t>-</t>
        </is>
      </c>
      <c r="J44" s="22" t="inlineStr">
        <is>
          <t>-</t>
        </is>
      </c>
      <c r="K44" s="38" t="n"/>
      <c r="L44" s="22" t="n"/>
      <c r="M44" s="286">
        <f>IFERROR(OFFSET(M44,-1,,1,1)+0.1,OFFSET(M44,-1,-1,1,1)&amp;".1")</f>
        <v/>
      </c>
      <c r="N44" s="23" t="inlineStr">
        <is>
          <t>Usability Analysis
&gt;&gt; Analysis for information flow architecture and usability considerations</t>
        </is>
      </c>
      <c r="O44" s="23" t="n"/>
      <c r="P44" s="23" t="n"/>
      <c r="Q44" s="144" t="n"/>
      <c r="R44" s="137" t="n"/>
      <c r="S44" s="169">
        <f>CEILING((IF(J44="Yes", 0, IF(H44="-",AA44,AA44+AA44*VLOOKUP(H44,BUFFERS_BY_TYPE,2,FALSE)))) +
   (IF(J44="Yes", 0, IF(H44="-",AA44,AA44+AA44*VLOOKUP(H44,BUFFERS_BY_TYPE,2,FALSE))))*VLOOKUP($S$5, SALES_CALL_SCALE_ARRAY, 2,FALSE),0.25)</f>
        <v/>
      </c>
      <c r="T44" s="170" t="n"/>
      <c r="U44" s="24" t="n">
        <v>0</v>
      </c>
      <c r="V44" s="24" t="n">
        <v>1</v>
      </c>
      <c r="W44" s="24" t="n">
        <v>0</v>
      </c>
      <c r="X44" s="168" t="n"/>
      <c r="Y44" s="169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/>
      </c>
      <c r="Z44" s="25" t="n"/>
      <c r="AA44" s="169">
        <f>Y44+Y44*VLOOKUP(I44,EXTRAS_ARRAY,2,FALSE)</f>
        <v/>
      </c>
      <c r="AB44" s="23" t="n"/>
      <c r="AC44" s="37" t="n"/>
      <c r="AD44" s="26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hidden="1" outlineLevel="2" ht="43.5" customHeight="1" s="232">
      <c r="A45" s="94" t="inlineStr">
        <is>
          <t>A</t>
        </is>
      </c>
      <c r="B45" s="21" t="n"/>
      <c r="C45" s="85" t="n"/>
      <c r="D45" s="85" t="n"/>
      <c r="E45" s="85" t="n"/>
      <c r="F45" s="86" t="n"/>
      <c r="G45" s="22" t="inlineStr">
        <is>
          <t>-</t>
        </is>
      </c>
      <c r="H45" s="22" t="inlineStr">
        <is>
          <t>-</t>
        </is>
      </c>
      <c r="I45" s="23" t="inlineStr">
        <is>
          <t>-</t>
        </is>
      </c>
      <c r="J45" s="22" t="inlineStr">
        <is>
          <t>-</t>
        </is>
      </c>
      <c r="K45" s="38" t="n"/>
      <c r="L45" s="22" t="n"/>
      <c r="M45" s="286">
        <f>IFERROR(OFFSET(M45,-1,,1,1)+0.1,OFFSET(M45,-1,-1,1,1)&amp;".1")</f>
        <v/>
      </c>
      <c r="N45" s="23" t="inlineStr">
        <is>
          <t>Review and Sign-off
&gt;&gt; Client review iterations and sign-off on SRS and Mock-ups</t>
        </is>
      </c>
      <c r="O45" s="23" t="n"/>
      <c r="P45" s="23" t="n"/>
      <c r="Q45" s="144" t="n"/>
      <c r="R45" s="137" t="n"/>
      <c r="S45" s="169">
        <f>CEILING((IF(J45="Yes", 0, IF(H45="-",AA45,AA45+AA45*VLOOKUP(H45,BUFFERS_BY_TYPE,2,FALSE)))) +
   (IF(J45="Yes", 0, IF(H45="-",AA45,AA45+AA45*VLOOKUP(H45,BUFFERS_BY_TYPE,2,FALSE))))*VLOOKUP($S$5, SALES_CALL_SCALE_ARRAY, 2,FALSE),0.25)</f>
        <v/>
      </c>
      <c r="T45" s="170" t="n"/>
      <c r="U45" s="24" t="n">
        <v>0</v>
      </c>
      <c r="V45" s="24" t="n">
        <v>1</v>
      </c>
      <c r="W45" s="24" t="n">
        <v>0</v>
      </c>
      <c r="X45" s="168" t="n"/>
      <c r="Y45" s="169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/>
      </c>
      <c r="Z45" s="25" t="n"/>
      <c r="AA45" s="169">
        <f>Y45+Y45*VLOOKUP(I45,EXTRAS_ARRAY,2,FALSE)</f>
        <v/>
      </c>
      <c r="AB45" s="23" t="n"/>
      <c r="AC45" s="37" t="n"/>
      <c r="AD45" s="26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hidden="1" outlineLevel="2" ht="7.5" customFormat="1" customHeight="1" s="11">
      <c r="A46" s="94" t="inlineStr">
        <is>
          <t>T3</t>
        </is>
      </c>
      <c r="B46" s="18" t="n"/>
      <c r="C46" s="78" t="n"/>
      <c r="D46" s="78" t="n"/>
      <c r="E46" s="78" t="n"/>
      <c r="F46" s="78" t="n"/>
      <c r="G46" s="11" t="n"/>
      <c r="H46" s="11" t="n"/>
      <c r="I46" s="11" t="n"/>
      <c r="J46" s="11" t="n"/>
      <c r="K46" s="11" t="n"/>
      <c r="L46" s="11" t="n"/>
      <c r="M46" s="287" t="n"/>
      <c r="N46" s="11" t="n"/>
      <c r="O46" s="11" t="n"/>
      <c r="P46" s="11" t="n"/>
      <c r="Q46" s="11" t="n"/>
      <c r="R46" s="11" t="n"/>
      <c r="S46" s="11" t="n"/>
      <c r="T46" s="18" t="n"/>
      <c r="U46" s="11" t="n"/>
      <c r="V46" s="11" t="n"/>
      <c r="W46" s="11" t="n"/>
      <c r="X46" s="18" t="n"/>
      <c r="Y46" s="11" t="n"/>
      <c r="Z46" s="11" t="n"/>
      <c r="AA46" s="11" t="n"/>
      <c r="AB46" s="60" t="n"/>
      <c r="AC46" s="60" t="n"/>
      <c r="AD46" s="60" t="n"/>
    </row>
    <row r="47" outlineLevel="1" collapsed="1" ht="15.5" customFormat="1" customHeight="1" s="17">
      <c r="A47" s="94" t="inlineStr">
        <is>
          <t>T1</t>
        </is>
      </c>
      <c r="B47" s="21" t="n"/>
      <c r="C47" s="84" t="n"/>
      <c r="D47" s="84" t="n"/>
      <c r="E47" s="84" t="n"/>
      <c r="F47" s="83" t="n"/>
      <c r="G47" s="32" t="n"/>
      <c r="H47" s="32" t="n"/>
      <c r="I47" s="32" t="n"/>
      <c r="J47" s="32" t="n"/>
      <c r="K47" s="32" t="n"/>
      <c r="L47" s="20">
        <f>LOOKUP(1000,INDIRECT("L1:"&amp;CELL("address",INDIRECT("R[-1]C",FALSE))))+1</f>
        <v/>
      </c>
      <c r="M47" s="301" t="inlineStr">
        <is>
          <t>Information Architecture</t>
        </is>
      </c>
      <c r="N47" s="352" t="n"/>
      <c r="O47" s="5" t="n"/>
      <c r="P47" s="33" t="n"/>
      <c r="Q47" s="33" t="n"/>
      <c r="R47" s="33" t="n"/>
      <c r="S47" s="33" t="n"/>
      <c r="T47" s="167">
        <f>IF($S$6="Exclude", SUMIFS(S48:S55, J48:J55, "&lt;&gt;Yes", G48:G55, "&lt;&gt;Yes"), SUMIFS(S48:S55, J48:J55, "&lt;&gt;Yes"))</f>
        <v/>
      </c>
      <c r="U47" s="33" t="n"/>
      <c r="V47" s="33" t="n"/>
      <c r="W47" s="33" t="n"/>
      <c r="X47" s="34" t="n"/>
      <c r="Y47" s="35" t="n"/>
      <c r="Z47" s="35" t="n"/>
      <c r="AA47" s="35" t="n"/>
      <c r="AB47" s="240" t="n"/>
      <c r="AC47" s="36" t="n"/>
      <c r="AD47" s="26">
        <f>IF(M47="", "Error: Task name cannot be empty.", "")</f>
        <v/>
      </c>
    </row>
    <row r="48" hidden="1" outlineLevel="2" ht="1.5" customFormat="1" customHeight="1" s="15">
      <c r="A48" s="94" t="inlineStr">
        <is>
          <t>T2</t>
        </is>
      </c>
      <c r="B48" s="21" t="n"/>
      <c r="C48" s="84" t="n"/>
      <c r="D48" s="84" t="n"/>
      <c r="E48" s="84" t="n"/>
      <c r="F48" s="83" t="n"/>
      <c r="G48" s="32" t="n"/>
      <c r="H48" s="32" t="n"/>
      <c r="I48" s="32" t="n"/>
      <c r="J48" s="32" t="n"/>
      <c r="K48" s="32" t="n"/>
      <c r="L48" s="175">
        <f>L47</f>
        <v/>
      </c>
      <c r="M48" s="176" t="inlineStr">
        <is>
          <t>X</t>
        </is>
      </c>
      <c r="N48" s="173" t="n"/>
      <c r="O48" s="174" t="n"/>
      <c r="P48" s="33" t="n"/>
      <c r="Q48" s="33" t="n"/>
      <c r="R48" s="33" t="n"/>
      <c r="S48" s="33" t="n"/>
      <c r="T48" s="167" t="n"/>
      <c r="U48" s="33" t="n"/>
      <c r="V48" s="33" t="n"/>
      <c r="W48" s="33" t="n"/>
      <c r="X48" s="34" t="n"/>
      <c r="Y48" s="35" t="n"/>
      <c r="Z48" s="35" t="n"/>
      <c r="AA48" s="35" t="n"/>
      <c r="AB48" s="36" t="n"/>
      <c r="AC48" s="36" t="n"/>
      <c r="AD48" s="26" t="n"/>
    </row>
    <row r="49" hidden="1" outlineLevel="2" ht="43.5" customHeight="1" s="232">
      <c r="A49" s="94" t="inlineStr">
        <is>
          <t>A</t>
        </is>
      </c>
      <c r="B49" s="21" t="n"/>
      <c r="C49" s="85" t="n"/>
      <c r="D49" s="85" t="n"/>
      <c r="E49" s="85" t="n"/>
      <c r="F49" s="86" t="n"/>
      <c r="G49" s="22" t="inlineStr">
        <is>
          <t>Yes</t>
        </is>
      </c>
      <c r="H49" s="22" t="inlineStr">
        <is>
          <t>-</t>
        </is>
      </c>
      <c r="I49" s="23" t="inlineStr">
        <is>
          <t>-</t>
        </is>
      </c>
      <c r="J49" s="22" t="inlineStr">
        <is>
          <t>-</t>
        </is>
      </c>
      <c r="K49" s="38" t="n"/>
      <c r="L49" s="22" t="n"/>
      <c r="M49" s="286">
        <f>IFERROR(OFFSET(M49,-1,,1,1)+0.1,OFFSET(M49,-1,-1,1,1)&amp;".1")</f>
        <v/>
      </c>
      <c r="N49" s="23" t="inlineStr">
        <is>
          <t>Card Sorting</t>
        </is>
      </c>
      <c r="O49" s="23" t="n"/>
      <c r="P49" s="23" t="n"/>
      <c r="Q49" s="144" t="n"/>
      <c r="R49" s="137" t="n"/>
      <c r="S49" s="169">
        <f>CEILING((IF(J49="Yes", 0, IF(H49="-",AA49,AA49+AA49*VLOOKUP(H49,BUFFERS_BY_TYPE,2,FALSE)))) +
   (IF(J49="Yes", 0, IF(H49="-",AA49,AA49+AA49*VLOOKUP(H49,BUFFERS_BY_TYPE,2,FALSE))))*VLOOKUP($S$5, SALES_CALL_SCALE_ARRAY, 2,FALSE),0.25)</f>
        <v/>
      </c>
      <c r="T49" s="170" t="n"/>
      <c r="U49" s="24" t="n">
        <v>0</v>
      </c>
      <c r="V49" s="24" t="n">
        <v>1</v>
      </c>
      <c r="W49" s="24" t="n">
        <v>0</v>
      </c>
      <c r="X49" s="168" t="n"/>
      <c r="Y49" s="169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/>
      </c>
      <c r="Z49" s="25" t="n"/>
      <c r="AA49" s="169">
        <f>Y49+Y49*VLOOKUP(I49,EXTRAS_ARRAY,2,FALSE)</f>
        <v/>
      </c>
      <c r="AB49" s="23" t="n"/>
      <c r="AC49" s="37" t="n"/>
      <c r="AD49" s="26">
        <f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hidden="1" outlineLevel="2" ht="43.5" customHeight="1" s="232">
      <c r="A50" s="94" t="inlineStr">
        <is>
          <t>A</t>
        </is>
      </c>
      <c r="B50" s="21" t="n"/>
      <c r="C50" s="85" t="n"/>
      <c r="D50" s="85" t="n"/>
      <c r="E50" s="85" t="n"/>
      <c r="F50" s="86" t="n"/>
      <c r="G50" s="22" t="inlineStr">
        <is>
          <t>Yes</t>
        </is>
      </c>
      <c r="H50" s="22" t="inlineStr">
        <is>
          <t>-</t>
        </is>
      </c>
      <c r="I50" s="23" t="inlineStr">
        <is>
          <t>-</t>
        </is>
      </c>
      <c r="J50" s="22" t="inlineStr">
        <is>
          <t>-</t>
        </is>
      </c>
      <c r="K50" s="38" t="n"/>
      <c r="L50" s="22" t="n"/>
      <c r="M50" s="286">
        <f>IFERROR(OFFSET(M50,-1,,1,1)+0.1,OFFSET(M50,-1,-1,1,1)&amp;".1")</f>
        <v/>
      </c>
      <c r="N50" s="23" t="inlineStr">
        <is>
          <t>Create Site Map &amp; Content Inventory</t>
        </is>
      </c>
      <c r="O50" s="23" t="n"/>
      <c r="P50" s="23" t="n"/>
      <c r="Q50" s="144" t="n"/>
      <c r="R50" s="137" t="n"/>
      <c r="S50" s="169">
        <f>CEILING((IF(J50="Yes", 0, IF(H50="-",AA50,AA50+AA50*VLOOKUP(H50,BUFFERS_BY_TYPE,2,FALSE)))) +
(IF(J50="Yes", 0, IF(H50="-",AA50,AA50+AA50*VLOOKUP(H50,BUFFERS_BY_TYPE,2,FALSE))))*VLOOKUP($S$5, SALES_CALL_SCALE_ARRAY, 2,FALSE),0.25)</f>
        <v/>
      </c>
      <c r="T50" s="170" t="n"/>
      <c r="U50" s="24" t="n">
        <v>0</v>
      </c>
      <c r="V50" s="24" t="n">
        <v>1</v>
      </c>
      <c r="W50" s="24" t="n">
        <v>0</v>
      </c>
      <c r="X50" s="168" t="n"/>
      <c r="Y50" s="169">
        <f>CEILING((IF(P50=AS_DEV_EFFORT, DEV_EFFORT*Q50%,
IF(P50=AS_DURATION_EFFORT, (MANUAL_DURATION*5)*Q50%,
(IF(Q50&lt;=1,X50,
IF(SUM(U50:W50)=0,(Q50*X50),
(((Q50*U50)*(X50+(X50*EXTRA_FOR_H)))+
((Q50*V50)*X50)+
((Q50*W50)*(X50-(X50*LESS_FOR_L)))
)*IF(R50=0,1,R50))))))+Z50), 0.25)</f>
        <v/>
      </c>
      <c r="Z50" s="25" t="n"/>
      <c r="AA50" s="169">
        <f>Y50+Y50*VLOOKUP(I50,EXTRAS_ARRAY,2,FALSE)</f>
        <v/>
      </c>
      <c r="AB50" s="23" t="n"/>
      <c r="AC50" s="37" t="n"/>
      <c r="AD50" s="26">
        <f>IF(J50&lt;&gt;"Yes",
IF(S50&lt;=0,"Error: Effort value is not defined or is invalid.",
IF(AND(SUM(U50:W50)&gt;0,SUM(U50:W50)&lt;&gt;1),"Error: Complexity % distribution should sum to 100%.",
IF(AND(P50=AS_DEV_EFFORT,X50&lt;&gt;0),"Error: PDs should not be defined when defining as dev effort %.",
IF(AND(P50=AS_DURATION_EFFORT,X50&lt;&gt;0),"Error: PDs should not be defined when defining as duration effort %.","")))))</f>
        <v/>
      </c>
    </row>
    <row r="51" hidden="1" outlineLevel="2" ht="43.5" customHeight="1" s="232">
      <c r="A51" s="94" t="inlineStr">
        <is>
          <t>A</t>
        </is>
      </c>
      <c r="B51" s="21" t="n"/>
      <c r="C51" s="85" t="n"/>
      <c r="D51" s="85" t="n"/>
      <c r="E51" s="85" t="n"/>
      <c r="F51" s="86" t="n"/>
      <c r="G51" s="22" t="inlineStr">
        <is>
          <t>Yes</t>
        </is>
      </c>
      <c r="H51" s="22" t="inlineStr">
        <is>
          <t>-</t>
        </is>
      </c>
      <c r="I51" s="23" t="inlineStr">
        <is>
          <t>-</t>
        </is>
      </c>
      <c r="J51" s="22" t="inlineStr">
        <is>
          <t>-</t>
        </is>
      </c>
      <c r="K51" s="38" t="n"/>
      <c r="L51" s="22" t="n"/>
      <c r="M51" s="286">
        <f>IFERROR(OFFSET(M51,-1,,1,1)+0.1,OFFSET(M51,-1,-1,1,1)&amp;".1")</f>
        <v/>
      </c>
      <c r="N51" s="23" t="inlineStr">
        <is>
          <t>R1: Preliminary Wireframes (4-5)</t>
        </is>
      </c>
      <c r="O51" s="23" t="n"/>
      <c r="P51" s="23" t="n"/>
      <c r="Q51" s="144" t="n"/>
      <c r="R51" s="137" t="n"/>
      <c r="S51" s="169">
        <f>CEILING((IF(J51="Yes", 0, IF(H51="-",AA51,AA51+AA51*VLOOKUP(H51,BUFFERS_BY_TYPE,2,FALSE)))) +
(IF(J51="Yes", 0, IF(H51="-",AA51,AA51+AA51*VLOOKUP(H51,BUFFERS_BY_TYPE,2,FALSE))))*VLOOKUP($S$5, SALES_CALL_SCALE_ARRAY, 2,FALSE),0.25)</f>
        <v/>
      </c>
      <c r="T51" s="170" t="n"/>
      <c r="U51" s="24" t="n">
        <v>0</v>
      </c>
      <c r="V51" s="24" t="n">
        <v>1</v>
      </c>
      <c r="W51" s="24" t="n">
        <v>0</v>
      </c>
      <c r="X51" s="168" t="n"/>
      <c r="Y51" s="169">
        <f>CEILING((IF(P51=AS_DEV_EFFORT, DEV_EFFORT*Q51%,
IF(P51=AS_DURATION_EFFORT, (MANUAL_DURATION*5)*Q51%,
(IF(Q51&lt;=1,X51,
IF(SUM(U51:W51)=0,(Q51*X51),
(((Q51*U51)*(X51+(X51*EXTRA_FOR_H)))+
((Q51*V51)*X51)+
((Q51*W51)*(X51-(X51*LESS_FOR_L)))
)*IF(R51=0,1,R51))))))+Z51), 0.25)</f>
        <v/>
      </c>
      <c r="Z51" s="25" t="n"/>
      <c r="AA51" s="169">
        <f>Y51+Y51*VLOOKUP(I51,EXTRAS_ARRAY,2,FALSE)</f>
        <v/>
      </c>
      <c r="AB51" s="23" t="n"/>
      <c r="AC51" s="37" t="n"/>
      <c r="AD51" s="26">
        <f>IF(J51&lt;&gt;"Yes",
IF(S51&lt;=0,"Error: Effort value is not defined or is invalid.",
IF(AND(SUM(U51:W51)&gt;0,SUM(U51:W51)&lt;&gt;1),"Error: Complexity % distribution should sum to 100%.",
IF(AND(P51=AS_DEV_EFFORT,X51&lt;&gt;0),"Error: PDs should not be defined when defining as dev effort %.",
IF(AND(P51=AS_DURATION_EFFORT,X51&lt;&gt;0),"Error: PDs should not be defined when defining as duration effort %.","")))))</f>
        <v/>
      </c>
    </row>
    <row r="52" hidden="1" outlineLevel="2" ht="43.5" customHeight="1" s="232">
      <c r="A52" s="94" t="inlineStr">
        <is>
          <t>A</t>
        </is>
      </c>
      <c r="B52" s="21" t="n"/>
      <c r="C52" s="85" t="n"/>
      <c r="D52" s="85" t="n"/>
      <c r="E52" s="85" t="n"/>
      <c r="F52" s="86" t="n"/>
      <c r="G52" s="22" t="inlineStr">
        <is>
          <t>Yes</t>
        </is>
      </c>
      <c r="H52" s="22" t="inlineStr">
        <is>
          <t>-</t>
        </is>
      </c>
      <c r="I52" s="23" t="inlineStr">
        <is>
          <t>-</t>
        </is>
      </c>
      <c r="J52" s="22" t="inlineStr">
        <is>
          <t>-</t>
        </is>
      </c>
      <c r="K52" s="38" t="n"/>
      <c r="L52" s="22" t="n"/>
      <c r="M52" s="286">
        <f>IFERROR(OFFSET(M52,-1,,1,1)+0.1,OFFSET(M52,-1,-1,1,1)&amp;".1")</f>
        <v/>
      </c>
      <c r="N52" s="23" t="inlineStr">
        <is>
          <t>Reverse Card Sort</t>
        </is>
      </c>
      <c r="O52" s="23" t="n"/>
      <c r="P52" s="23" t="n"/>
      <c r="Q52" s="144" t="n"/>
      <c r="R52" s="137" t="n"/>
      <c r="S52" s="169">
        <f>CEILING((IF(J52="Yes", 0, IF(H52="-",AA52,AA52+AA52*VLOOKUP(H52,BUFFERS_BY_TYPE,2,FALSE)))) +
(IF(J52="Yes", 0, IF(H52="-",AA52,AA52+AA52*VLOOKUP(H52,BUFFERS_BY_TYPE,2,FALSE))))*VLOOKUP($S$5, SALES_CALL_SCALE_ARRAY, 2,FALSE),0.25)</f>
        <v/>
      </c>
      <c r="T52" s="170" t="n"/>
      <c r="U52" s="24" t="n">
        <v>0</v>
      </c>
      <c r="V52" s="24" t="n">
        <v>1</v>
      </c>
      <c r="W52" s="24" t="n">
        <v>0</v>
      </c>
      <c r="X52" s="168" t="n"/>
      <c r="Y52" s="169">
        <f>CEILING((IF(P52=AS_DEV_EFFORT, DEV_EFFORT*Q52%,
IF(P52=AS_DURATION_EFFORT, (MANUAL_DURATION*5)*Q52%,
(IF(Q52&lt;=1,X52,
IF(SUM(U52:W52)=0,(Q52*X52),
(((Q52*U52)*(X52+(X52*EXTRA_FOR_H)))+
((Q52*V52)*X52)+
((Q52*W52)*(X52-(X52*LESS_FOR_L)))
)*IF(R52=0,1,R52))))))+Z52), 0.25)</f>
        <v/>
      </c>
      <c r="Z52" s="25" t="n"/>
      <c r="AA52" s="169">
        <f>Y52+Y52*VLOOKUP(I52,EXTRAS_ARRAY,2,FALSE)</f>
        <v/>
      </c>
      <c r="AB52" s="23" t="n"/>
      <c r="AC52" s="37" t="n"/>
      <c r="AD52" s="26">
        <f>IF(J52&lt;&gt;"Yes",
IF(S52&lt;=0,"Error: Effort value is not defined or is invalid.",
IF(AND(SUM(U52:W52)&gt;0,SUM(U52:W52)&lt;&gt;1),"Error: Complexity % distribution should sum to 100%.",
IF(AND(P52=AS_DEV_EFFORT,X52&lt;&gt;0),"Error: PDs should not be defined when defining as dev effort %.",
IF(AND(P52=AS_DURATION_EFFORT,X52&lt;&gt;0),"Error: PDs should not be defined when defining as duration effort %.","")))))</f>
        <v/>
      </c>
    </row>
    <row r="53" hidden="1" outlineLevel="2" ht="43.5" customHeight="1" s="232">
      <c r="A53" s="94" t="inlineStr">
        <is>
          <t>A</t>
        </is>
      </c>
      <c r="B53" s="21" t="n"/>
      <c r="C53" s="85" t="n"/>
      <c r="D53" s="85" t="n"/>
      <c r="E53" s="85" t="n"/>
      <c r="F53" s="86" t="n"/>
      <c r="G53" s="22" t="inlineStr">
        <is>
          <t>Yes</t>
        </is>
      </c>
      <c r="H53" s="22" t="inlineStr">
        <is>
          <t>-</t>
        </is>
      </c>
      <c r="I53" s="23" t="inlineStr">
        <is>
          <t>-</t>
        </is>
      </c>
      <c r="J53" s="22" t="inlineStr">
        <is>
          <t>-</t>
        </is>
      </c>
      <c r="K53" s="38" t="n"/>
      <c r="L53" s="22" t="n"/>
      <c r="M53" s="286">
        <f>IFERROR(OFFSET(M53,-1,,1,1)+0.1,OFFSET(M53,-1,-1,1,1)&amp;".1")</f>
        <v/>
      </c>
      <c r="N53" s="23" t="inlineStr">
        <is>
          <t>R2: Detailed Wireframes + Interaction Tables (15-20)</t>
        </is>
      </c>
      <c r="O53" s="23" t="n"/>
      <c r="P53" s="23" t="n"/>
      <c r="Q53" s="144" t="n"/>
      <c r="R53" s="137" t="n"/>
      <c r="S53" s="169">
        <f>CEILING((IF(J53="Yes", 0, IF(H53="-",AA53,AA53+AA53*VLOOKUP(H53,BUFFERS_BY_TYPE,2,FALSE)))) +
(IF(J53="Yes", 0, IF(H53="-",AA53,AA53+AA53*VLOOKUP(H53,BUFFERS_BY_TYPE,2,FALSE))))*VLOOKUP($S$5, SALES_CALL_SCALE_ARRAY, 2,FALSE),0.25)</f>
        <v/>
      </c>
      <c r="T53" s="170" t="n"/>
      <c r="U53" s="24" t="n">
        <v>0</v>
      </c>
      <c r="V53" s="24" t="n">
        <v>1</v>
      </c>
      <c r="W53" s="24" t="n">
        <v>0</v>
      </c>
      <c r="X53" s="168" t="n"/>
      <c r="Y53" s="169">
        <f>CEILING((IF(P53=AS_DEV_EFFORT, DEV_EFFORT*Q53%,
IF(P53=AS_DURATION_EFFORT, (MANUAL_DURATION*5)*Q53%,
(IF(Q53&lt;=1,X53,
IF(SUM(U53:W53)=0,(Q53*X53),
(((Q53*U53)*(X53+(X53*EXTRA_FOR_H)))+
((Q53*V53)*X53)+
((Q53*W53)*(X53-(X53*LESS_FOR_L)))
)*IF(R53=0,1,R53))))))+Z53), 0.25)</f>
        <v/>
      </c>
      <c r="Z53" s="25" t="n"/>
      <c r="AA53" s="169">
        <f>Y53+Y53*VLOOKUP(I53,EXTRAS_ARRAY,2,FALSE)</f>
        <v/>
      </c>
      <c r="AB53" s="23" t="n"/>
      <c r="AC53" s="37" t="n"/>
      <c r="AD53" s="26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hidden="1" outlineLevel="2" ht="43.5" customHeight="1" s="232">
      <c r="A54" s="94" t="inlineStr">
        <is>
          <t>A</t>
        </is>
      </c>
      <c r="B54" s="21" t="n"/>
      <c r="C54" s="85" t="n"/>
      <c r="D54" s="85" t="n"/>
      <c r="E54" s="85" t="n"/>
      <c r="F54" s="86" t="n"/>
      <c r="G54" s="22" t="inlineStr">
        <is>
          <t>Yes</t>
        </is>
      </c>
      <c r="H54" s="22" t="inlineStr">
        <is>
          <t>-</t>
        </is>
      </c>
      <c r="I54" s="23" t="inlineStr">
        <is>
          <t>-</t>
        </is>
      </c>
      <c r="J54" s="22" t="inlineStr">
        <is>
          <t>-</t>
        </is>
      </c>
      <c r="K54" s="38" t="n"/>
      <c r="L54" s="22" t="n"/>
      <c r="M54" s="286">
        <f>IFERROR(OFFSET(M54,-1,,1,1)+0.1,OFFSET(M54,-1,-1,1,1)&amp;".1")</f>
        <v/>
      </c>
      <c r="N54" s="23" t="inlineStr">
        <is>
          <t>Review and Sign-off
&gt;&gt; Client review iterations and sign-off on Final Wireframes</t>
        </is>
      </c>
      <c r="O54" s="23" t="n"/>
      <c r="P54" s="23" t="n"/>
      <c r="Q54" s="144" t="n"/>
      <c r="R54" s="137" t="n"/>
      <c r="S54" s="169">
        <f>CEILING((IF(J54="Yes", 0, IF(H54="-",AA54,AA54+AA54*VLOOKUP(H54,BUFFERS_BY_TYPE,2,FALSE)))) +
(IF(J54="Yes", 0, IF(H54="-",AA54,AA54+AA54*VLOOKUP(H54,BUFFERS_BY_TYPE,2,FALSE))))*VLOOKUP($S$5, SALES_CALL_SCALE_ARRAY, 2,FALSE),0.25)</f>
        <v/>
      </c>
      <c r="T54" s="170" t="n"/>
      <c r="U54" s="24" t="n">
        <v>0</v>
      </c>
      <c r="V54" s="24" t="n">
        <v>1</v>
      </c>
      <c r="W54" s="24" t="n">
        <v>0</v>
      </c>
      <c r="X54" s="168" t="n"/>
      <c r="Y54" s="169">
        <f>CEILING((IF(P54=AS_DEV_EFFORT, DEV_EFFORT*Q54%,
IF(P54=AS_DURATION_EFFORT, (MANUAL_DURATION*5)*Q54%,
(IF(Q54&lt;=1,X54,
IF(SUM(U54:W54)=0,(Q54*X54),
(((Q54*U54)*(X54+(X54*EXTRA_FOR_H)))+
((Q54*V54)*X54)+
((Q54*W54)*(X54-(X54*LESS_FOR_L)))
)*IF(R54=0,1,R54))))))+Z54), 0.25)</f>
        <v/>
      </c>
      <c r="Z54" s="25" t="n"/>
      <c r="AA54" s="169">
        <f>Y54+Y54*VLOOKUP(I54,EXTRAS_ARRAY,2,FALSE)</f>
        <v/>
      </c>
      <c r="AB54" s="23" t="n"/>
      <c r="AC54" s="37" t="n"/>
      <c r="AD54" s="26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hidden="1" outlineLevel="2" ht="7.5" customFormat="1" customHeight="1" s="11">
      <c r="A55" s="94" t="inlineStr">
        <is>
          <t>T3</t>
        </is>
      </c>
      <c r="B55" s="18" t="n"/>
      <c r="C55" s="78" t="n"/>
      <c r="D55" s="78" t="n"/>
      <c r="E55" s="78" t="n"/>
      <c r="F55" s="78" t="n"/>
      <c r="G55" s="11" t="n"/>
      <c r="H55" s="11" t="n"/>
      <c r="I55" s="11" t="n"/>
      <c r="J55" s="11" t="n"/>
      <c r="K55" s="11" t="n"/>
      <c r="L55" s="11" t="n"/>
      <c r="M55" s="287" t="n"/>
      <c r="N55" s="11" t="n"/>
      <c r="O55" s="11" t="n"/>
      <c r="P55" s="11" t="n"/>
      <c r="Q55" s="11" t="n"/>
      <c r="R55" s="11" t="n"/>
      <c r="S55" s="11" t="n"/>
      <c r="T55" s="18" t="n"/>
      <c r="U55" s="11" t="n"/>
      <c r="V55" s="11" t="n"/>
      <c r="W55" s="11" t="n"/>
      <c r="X55" s="18" t="n"/>
      <c r="Y55" s="11" t="n"/>
      <c r="Z55" s="11" t="n"/>
      <c r="AA55" s="11" t="n"/>
      <c r="AB55" s="60" t="n"/>
      <c r="AC55" s="60" t="n"/>
      <c r="AD55" s="60" t="n"/>
    </row>
    <row r="56" outlineLevel="1" ht="15.5" customFormat="1" customHeight="1" s="17">
      <c r="A56" s="94" t="inlineStr">
        <is>
          <t>T1</t>
        </is>
      </c>
      <c r="B56" s="21" t="n"/>
      <c r="C56" s="84" t="n"/>
      <c r="D56" s="84" t="n"/>
      <c r="E56" s="84" t="n"/>
      <c r="F56" s="83" t="n"/>
      <c r="G56" s="32" t="n"/>
      <c r="H56" s="32" t="n"/>
      <c r="I56" s="32" t="n"/>
      <c r="J56" s="32" t="n"/>
      <c r="K56" s="32" t="n"/>
      <c r="L56" s="20">
        <f>LOOKUP(1000,INDIRECT("L1:"&amp;CELL("address",INDIRECT("R[-1]C",FALSE))))+1</f>
        <v/>
      </c>
      <c r="M56" s="301" t="inlineStr">
        <is>
          <t>Prototyping Visual designs</t>
        </is>
      </c>
      <c r="N56" s="352" t="n"/>
      <c r="O56" s="5" t="n"/>
      <c r="P56" s="33" t="n"/>
      <c r="Q56" s="33" t="n"/>
      <c r="R56" s="33" t="n"/>
      <c r="S56" s="33" t="n"/>
      <c r="T56" s="167">
        <f>IF($S$6="Exclude", SUMIFS(S57:S63, J57:J63, "&lt;&gt;Yes", G57:G63, "&lt;&gt;Yes"), SUMIFS(S57:S63, J57:J63, "&lt;&gt;Yes"))</f>
        <v/>
      </c>
      <c r="U56" s="33" t="n"/>
      <c r="V56" s="33" t="n"/>
      <c r="W56" s="33" t="n"/>
      <c r="X56" s="34" t="n"/>
      <c r="Y56" s="35" t="n"/>
      <c r="Z56" s="35" t="n"/>
      <c r="AA56" s="35" t="n"/>
      <c r="AB56" s="240" t="n"/>
      <c r="AC56" s="36" t="n"/>
      <c r="AD56" s="26">
        <f>IF(M56="", "Error: Task name cannot be empty.", "")</f>
        <v/>
      </c>
    </row>
    <row r="57" outlineLevel="2" ht="1.5" customFormat="1" customHeight="1" s="15">
      <c r="A57" s="94" t="inlineStr">
        <is>
          <t>T2</t>
        </is>
      </c>
      <c r="B57" s="21" t="n"/>
      <c r="C57" s="84" t="n"/>
      <c r="D57" s="84" t="n"/>
      <c r="E57" s="84" t="n"/>
      <c r="F57" s="83" t="n"/>
      <c r="G57" s="32" t="n"/>
      <c r="H57" s="32" t="n"/>
      <c r="I57" s="32" t="n"/>
      <c r="J57" s="32" t="n"/>
      <c r="K57" s="32" t="n"/>
      <c r="L57" s="175">
        <f>L56</f>
        <v/>
      </c>
      <c r="M57" s="176" t="inlineStr">
        <is>
          <t>X</t>
        </is>
      </c>
      <c r="N57" s="173" t="n"/>
      <c r="O57" s="174" t="n"/>
      <c r="P57" s="33" t="n"/>
      <c r="Q57" s="33" t="n"/>
      <c r="R57" s="33" t="n"/>
      <c r="S57" s="33" t="n"/>
      <c r="T57" s="167" t="n"/>
      <c r="U57" s="33" t="n"/>
      <c r="V57" s="33" t="n"/>
      <c r="W57" s="33" t="n"/>
      <c r="X57" s="34" t="n"/>
      <c r="Y57" s="35" t="n"/>
      <c r="Z57" s="35" t="n"/>
      <c r="AA57" s="35" t="n"/>
      <c r="AB57" s="36" t="n"/>
      <c r="AC57" s="36" t="n"/>
      <c r="AD57" s="26" t="n"/>
    </row>
    <row r="58" outlineLevel="2" ht="43.5" customHeight="1" s="232">
      <c r="A58" s="94" t="inlineStr">
        <is>
          <t>A</t>
        </is>
      </c>
      <c r="B58" s="21" t="n"/>
      <c r="C58" s="85" t="n"/>
      <c r="D58" s="85" t="n"/>
      <c r="E58" s="85" t="n"/>
      <c r="F58" s="86" t="n"/>
      <c r="G58" s="22" t="inlineStr">
        <is>
          <t>-</t>
        </is>
      </c>
      <c r="H58" s="22" t="inlineStr">
        <is>
          <t>-</t>
        </is>
      </c>
      <c r="I58" s="23" t="inlineStr">
        <is>
          <t>-</t>
        </is>
      </c>
      <c r="J58" s="22" t="inlineStr">
        <is>
          <t>-</t>
        </is>
      </c>
      <c r="K58" s="38" t="n"/>
      <c r="L58" s="22" t="n"/>
      <c r="M58" s="286">
        <f>IFERROR(OFFSET(M58,-1,,1,1)+0.1,OFFSET(M58,-1,-1,1,1)&amp;".1")</f>
        <v/>
      </c>
      <c r="N58" s="23" t="inlineStr">
        <is>
          <t>Create Preliminary Visual Design Compositions (3-4 templates)</t>
        </is>
      </c>
      <c r="O58" s="23" t="inlineStr">
        <is>
          <t>Templates</t>
        </is>
      </c>
      <c r="P58" s="23" t="n"/>
      <c r="Q58" s="144" t="n"/>
      <c r="R58" s="137" t="n"/>
      <c r="S58" s="169">
        <f>CEILING((IF(J58="Yes", 0, IF(H58="-",AA58,AA58+AA58*VLOOKUP(H58,BUFFERS_BY_TYPE,2,FALSE)))) +
   (IF(J58="Yes", 0, IF(H58="-",AA58,AA58+AA58*VLOOKUP(H58,BUFFERS_BY_TYPE,2,FALSE))))*VLOOKUP($S$5, SALES_CALL_SCALE_ARRAY, 2,FALSE),0.25)</f>
        <v/>
      </c>
      <c r="T58" s="170" t="n"/>
      <c r="U58" s="24" t="n">
        <v>0</v>
      </c>
      <c r="V58" s="24" t="n">
        <v>1</v>
      </c>
      <c r="W58" s="24" t="n">
        <v>0</v>
      </c>
      <c r="X58" s="168" t="n"/>
      <c r="Y58" s="169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/>
      </c>
      <c r="Z58" s="25" t="n"/>
      <c r="AA58" s="169">
        <f>Y58+Y58*VLOOKUP(I58,EXTRAS_ARRAY,2,FALSE)</f>
        <v/>
      </c>
      <c r="AB58" s="23" t="n"/>
      <c r="AC58" s="37" t="n"/>
      <c r="AD58" s="26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outlineLevel="2" ht="43.5" customHeight="1" s="232">
      <c r="A59" s="94" t="inlineStr">
        <is>
          <t>A</t>
        </is>
      </c>
      <c r="B59" s="21" t="n"/>
      <c r="C59" s="85" t="n"/>
      <c r="D59" s="85" t="n"/>
      <c r="E59" s="85" t="n"/>
      <c r="F59" s="86" t="n"/>
      <c r="G59" s="22" t="inlineStr">
        <is>
          <t>-</t>
        </is>
      </c>
      <c r="H59" s="22" t="inlineStr">
        <is>
          <t>-</t>
        </is>
      </c>
      <c r="I59" s="23" t="inlineStr">
        <is>
          <t>-</t>
        </is>
      </c>
      <c r="J59" s="22" t="inlineStr">
        <is>
          <t>-</t>
        </is>
      </c>
      <c r="K59" s="38" t="n"/>
      <c r="L59" s="22" t="n"/>
      <c r="M59" s="286">
        <f>IFERROR(OFFSET(M59,-1,,1,1)+0.1,OFFSET(M59,-1,-1,1,1)&amp;".1")</f>
        <v/>
      </c>
      <c r="N59" s="23" t="inlineStr">
        <is>
          <t>Create Click through mockups</t>
        </is>
      </c>
      <c r="O59" s="23" t="inlineStr">
        <is>
          <t>Templates</t>
        </is>
      </c>
      <c r="P59" s="23" t="n"/>
      <c r="Q59" s="144" t="n"/>
      <c r="R59" s="137" t="n"/>
      <c r="S59" s="169">
        <f>CEILING((IF(J59="Yes", 0, IF(H59="-",AA59,AA59+AA59*VLOOKUP(H59,BUFFERS_BY_TYPE,2,FALSE)))) +
   (IF(J59="Yes", 0, IF(H59="-",AA59,AA59+AA59*VLOOKUP(H59,BUFFERS_BY_TYPE,2,FALSE))))*VLOOKUP($S$5, SALES_CALL_SCALE_ARRAY, 2,FALSE),0.25)</f>
        <v/>
      </c>
      <c r="T59" s="170" t="n"/>
      <c r="U59" s="24" t="n">
        <v>0</v>
      </c>
      <c r="V59" s="24" t="n">
        <v>1</v>
      </c>
      <c r="W59" s="24" t="n">
        <v>0</v>
      </c>
      <c r="X59" s="168" t="n"/>
      <c r="Y59" s="169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/>
      </c>
      <c r="Z59" s="25" t="n"/>
      <c r="AA59" s="169">
        <f>Y59+Y59*VLOOKUP(I59,EXTRAS_ARRAY,2,FALSE)</f>
        <v/>
      </c>
      <c r="AB59" s="23" t="n"/>
      <c r="AC59" s="37" t="n"/>
      <c r="AD59" s="26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outlineLevel="2" ht="43.5" customHeight="1" s="232">
      <c r="A60" s="94" t="inlineStr">
        <is>
          <t>A</t>
        </is>
      </c>
      <c r="B60" s="21" t="n"/>
      <c r="C60" s="85" t="n"/>
      <c r="D60" s="85" t="n"/>
      <c r="E60" s="85" t="n"/>
      <c r="F60" s="86" t="n"/>
      <c r="G60" s="22" t="inlineStr">
        <is>
          <t>-</t>
        </is>
      </c>
      <c r="H60" s="22" t="inlineStr">
        <is>
          <t>-</t>
        </is>
      </c>
      <c r="I60" s="23" t="inlineStr">
        <is>
          <t>-</t>
        </is>
      </c>
      <c r="J60" s="22" t="inlineStr">
        <is>
          <t>-</t>
        </is>
      </c>
      <c r="K60" s="38" t="n"/>
      <c r="L60" s="22" t="n"/>
      <c r="M60" s="286">
        <f>IFERROR(OFFSET(M60,-1,,1,1)+0.1,OFFSET(M60,-1,-1,1,1)&amp;".1")</f>
        <v/>
      </c>
      <c r="N60" s="23" t="inlineStr">
        <is>
          <t>Click thorugh mockups using Axure</t>
        </is>
      </c>
      <c r="O60" s="23" t="inlineStr">
        <is>
          <t>Mockups</t>
        </is>
      </c>
      <c r="P60" s="23" t="n"/>
      <c r="Q60" s="144" t="n"/>
      <c r="R60" s="137" t="n"/>
      <c r="S60" s="169">
        <f>CEILING((IF(J60="Yes", 0, IF(H60="-",AA60,AA60+AA60*VLOOKUP(H60,BUFFERS_BY_TYPE,2,FALSE)))) +
   (IF(J60="Yes", 0, IF(H60="-",AA60,AA60+AA60*VLOOKUP(H60,BUFFERS_BY_TYPE,2,FALSE))))*VLOOKUP($S$5, SALES_CALL_SCALE_ARRAY, 2,FALSE),0.25)</f>
        <v/>
      </c>
      <c r="T60" s="170" t="n"/>
      <c r="U60" s="24" t="n">
        <v>0</v>
      </c>
      <c r="V60" s="24" t="n">
        <v>1</v>
      </c>
      <c r="W60" s="24" t="n">
        <v>0</v>
      </c>
      <c r="X60" s="168" t="n"/>
      <c r="Y60" s="169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/>
      </c>
      <c r="Z60" s="25" t="n"/>
      <c r="AA60" s="169">
        <f>Y60+Y60*VLOOKUP(I60,EXTRAS_ARRAY,2,FALSE)</f>
        <v/>
      </c>
      <c r="AB60" s="23" t="n"/>
      <c r="AC60" s="37" t="n"/>
      <c r="AD60" s="26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outlineLevel="2" ht="43.5" customHeight="1" s="232">
      <c r="A61" s="94" t="inlineStr">
        <is>
          <t>A</t>
        </is>
      </c>
      <c r="B61" s="21" t="n"/>
      <c r="C61" s="85" t="n"/>
      <c r="D61" s="85" t="n"/>
      <c r="E61" s="85" t="n"/>
      <c r="F61" s="86" t="n"/>
      <c r="G61" s="22" t="inlineStr">
        <is>
          <t>Yes</t>
        </is>
      </c>
      <c r="H61" s="22" t="inlineStr">
        <is>
          <t>-</t>
        </is>
      </c>
      <c r="I61" s="23" t="inlineStr">
        <is>
          <t>-</t>
        </is>
      </c>
      <c r="J61" s="22" t="inlineStr">
        <is>
          <t>-</t>
        </is>
      </c>
      <c r="K61" s="38" t="n"/>
      <c r="L61" s="22" t="n"/>
      <c r="M61" s="286">
        <f>IFERROR(OFFSET(M61,-1,,1,1)+0.1,OFFSET(M61,-1,-1,1,1)&amp;".1")</f>
        <v/>
      </c>
      <c r="N61" s="23" t="inlineStr">
        <is>
          <t>Usability Testing</t>
        </is>
      </c>
      <c r="O61" s="23" t="inlineStr">
        <is>
          <t>% of the Use cases</t>
        </is>
      </c>
      <c r="P61" s="274" t="n">
        <v>0.02</v>
      </c>
      <c r="Q61" s="144">
        <f>Total_Use_Cases * P61</f>
        <v/>
      </c>
      <c r="R61" s="137" t="n"/>
      <c r="S61" s="169">
        <f>CEILING((IF(J61="Yes", 0, IF(H61="-",AA61,AA61+AA61*VLOOKUP(H61,BUFFERS_BY_TYPE,2,FALSE)))) +
   (IF(J61="Yes", 0, IF(H61="-",AA61,AA61+AA61*VLOOKUP(H61,BUFFERS_BY_TYPE,2,FALSE))))*VLOOKUP($S$5, SALES_CALL_SCALE_ARRAY, 2,FALSE),0.25)</f>
        <v/>
      </c>
      <c r="T61" s="170" t="n"/>
      <c r="U61" s="24" t="n">
        <v>0</v>
      </c>
      <c r="V61" s="24" t="n">
        <v>1</v>
      </c>
      <c r="W61" s="24" t="n">
        <v>0</v>
      </c>
      <c r="X61" s="168" t="n"/>
      <c r="Y61" s="169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/>
      </c>
      <c r="Z61" s="25" t="n"/>
      <c r="AA61" s="169">
        <f>Y61+Y61*VLOOKUP(I61,EXTRAS_ARRAY,2,FALSE)</f>
        <v/>
      </c>
      <c r="AB61" s="23" t="inlineStr">
        <is>
          <t>Considered 2% of overall use cases.</t>
        </is>
      </c>
      <c r="AC61" s="37" t="n"/>
      <c r="AD61" s="26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outlineLevel="2" ht="43.5" customHeight="1" s="232">
      <c r="A62" s="94" t="inlineStr">
        <is>
          <t>A</t>
        </is>
      </c>
      <c r="B62" s="21" t="n"/>
      <c r="C62" s="85" t="n"/>
      <c r="D62" s="85" t="n"/>
      <c r="E62" s="85" t="n"/>
      <c r="F62" s="86" t="n"/>
      <c r="G62" s="22" t="inlineStr">
        <is>
          <t>-</t>
        </is>
      </c>
      <c r="H62" s="22" t="inlineStr">
        <is>
          <t>-</t>
        </is>
      </c>
      <c r="I62" s="23" t="inlineStr">
        <is>
          <t>-</t>
        </is>
      </c>
      <c r="J62" s="22" t="inlineStr">
        <is>
          <t>-</t>
        </is>
      </c>
      <c r="K62" s="38" t="n"/>
      <c r="L62" s="22" t="n"/>
      <c r="M62" s="286">
        <f>IFERROR(OFFSET(M62,-1,,1,1)+0.1,OFFSET(M62,-1,-1,1,1)&amp;".1")</f>
        <v/>
      </c>
      <c r="N62" s="23" t="inlineStr">
        <is>
          <t>Final Revisions</t>
        </is>
      </c>
      <c r="O62" s="23" t="inlineStr">
        <is>
          <t>Name: Total Screens
#: Key Screens</t>
        </is>
      </c>
      <c r="P62" s="23" t="n">
        <v>12</v>
      </c>
      <c r="Q62" s="144" t="n"/>
      <c r="R62" s="137" t="n"/>
      <c r="S62" s="169">
        <f>CEILING((IF(J62="Yes", 0, IF(H62="-",AA62,AA62+AA62*VLOOKUP(H62,BUFFERS_BY_TYPE,2,FALSE)))) +
   (IF(J62="Yes", 0, IF(H62="-",AA62,AA62+AA62*VLOOKUP(H62,BUFFERS_BY_TYPE,2,FALSE))))*VLOOKUP($S$5, SALES_CALL_SCALE_ARRAY, 2,FALSE),0.25)</f>
        <v/>
      </c>
      <c r="T62" s="170" t="n"/>
      <c r="U62" s="24" t="n">
        <v>0</v>
      </c>
      <c r="V62" s="24" t="n">
        <v>1</v>
      </c>
      <c r="W62" s="24" t="n">
        <v>0</v>
      </c>
      <c r="X62" s="168" t="n"/>
      <c r="Y62" s="169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/>
      </c>
      <c r="Z62" s="25" t="n"/>
      <c r="AA62" s="169">
        <f>Y62+Y62*VLOOKUP(I62,EXTRAS_ARRAY,2,FALSE)</f>
        <v/>
      </c>
      <c r="AB62" s="23" t="n"/>
      <c r="AC62" s="37" t="n"/>
      <c r="AD62" s="26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outlineLevel="2" ht="7.5" customFormat="1" customHeight="1" s="11">
      <c r="A63" s="94" t="inlineStr">
        <is>
          <t>T3</t>
        </is>
      </c>
      <c r="B63" s="18" t="n"/>
      <c r="C63" s="78" t="n"/>
      <c r="D63" s="78" t="n"/>
      <c r="E63" s="78" t="n"/>
      <c r="F63" s="78" t="n"/>
      <c r="G63" s="11" t="n"/>
      <c r="H63" s="11" t="n"/>
      <c r="I63" s="11" t="n"/>
      <c r="J63" s="11" t="n"/>
      <c r="K63" s="11" t="n"/>
      <c r="L63" s="11" t="n"/>
      <c r="M63" s="287" t="n"/>
      <c r="N63" s="11" t="n"/>
      <c r="O63" s="11" t="n"/>
      <c r="P63" s="11" t="n"/>
      <c r="Q63" s="11" t="n"/>
      <c r="R63" s="11" t="n"/>
      <c r="S63" s="11" t="n"/>
      <c r="T63" s="18" t="n"/>
      <c r="U63" s="11" t="n"/>
      <c r="V63" s="11" t="n"/>
      <c r="W63" s="11" t="n"/>
      <c r="X63" s="18" t="n"/>
      <c r="Y63" s="11" t="n"/>
      <c r="Z63" s="11" t="n"/>
      <c r="AA63" s="11" t="n"/>
      <c r="AB63" s="60" t="n"/>
      <c r="AC63" s="60" t="n"/>
      <c r="AD63" s="60" t="n"/>
    </row>
    <row r="64" outlineLevel="1" ht="3" customFormat="1" customHeight="1" s="11">
      <c r="A64" s="94" t="inlineStr">
        <is>
          <t>S3</t>
        </is>
      </c>
      <c r="B64" s="11" t="n"/>
      <c r="C64" s="78" t="n"/>
      <c r="D64" s="78" t="n"/>
      <c r="E64" s="78" t="n"/>
      <c r="F64" s="78" t="n"/>
      <c r="G64" s="241" t="n"/>
      <c r="H64" s="241" t="n"/>
      <c r="I64" s="241" t="n"/>
      <c r="J64" s="241" t="n"/>
      <c r="K64" s="241" t="n"/>
      <c r="L64" s="61" t="n"/>
      <c r="M64" s="288" t="n"/>
      <c r="N64" s="62" t="n"/>
      <c r="O64" s="62" t="n"/>
      <c r="P64" s="61" t="n"/>
      <c r="Q64" s="61" t="n"/>
      <c r="R64" s="61" t="n"/>
      <c r="S64" s="61" t="n"/>
      <c r="T64" s="61" t="n"/>
      <c r="U64" s="61" t="n"/>
      <c r="V64" s="61" t="n"/>
      <c r="W64" s="61" t="n"/>
      <c r="X64" s="61" t="n"/>
      <c r="Y64" s="61" t="n"/>
      <c r="Z64" s="61" t="n"/>
      <c r="AA64" s="61" t="n"/>
      <c r="AB64" s="62" t="n"/>
      <c r="AC64" s="62" t="n"/>
      <c r="AD64" s="60" t="n"/>
    </row>
    <row r="65" collapsed="1" ht="18.5" customFormat="1" customHeight="1" s="17">
      <c r="A65" s="94" t="inlineStr">
        <is>
          <t>S1</t>
        </is>
      </c>
      <c r="B65" s="15" t="n"/>
      <c r="C65" s="79" t="n"/>
      <c r="D65" s="79" t="n"/>
      <c r="E65" s="79" t="n"/>
      <c r="F65" s="78" t="n"/>
      <c r="G65" s="55" t="n"/>
      <c r="H65" s="55" t="n"/>
      <c r="I65" s="55" t="n"/>
      <c r="J65" s="55" t="n"/>
      <c r="K65" s="55" t="n"/>
      <c r="L65" s="55" t="inlineStr">
        <is>
          <t>B</t>
        </is>
      </c>
      <c r="M65" s="284" t="inlineStr">
        <is>
          <t>Phase 2: Architecture &amp; Design (AWS + UI/UX)</t>
        </is>
      </c>
      <c r="N65" s="56" t="n"/>
      <c r="O65" s="57" t="n"/>
      <c r="P65" s="58" t="n"/>
      <c r="Q65" s="58" t="n"/>
      <c r="R65" s="58" t="n"/>
      <c r="S65" s="351">
        <f>CEILING(SUMIF(J66:J94, "&lt;&gt;Yes", T66:T94),1)</f>
        <v/>
      </c>
      <c r="U65" s="58" t="n"/>
      <c r="V65" s="58" t="n"/>
      <c r="W65" s="58" t="n"/>
      <c r="X65" s="58" t="n"/>
      <c r="Y65" s="58" t="n"/>
      <c r="Z65" s="58" t="n"/>
      <c r="AA65" s="58" t="n"/>
      <c r="AB65" s="58" t="n"/>
      <c r="AC65" s="58" t="n"/>
      <c r="AD65" s="16" t="n"/>
    </row>
    <row r="66" hidden="1" outlineLevel="1" ht="3" customFormat="1" customHeight="1" s="11">
      <c r="A66" s="94" t="inlineStr">
        <is>
          <t>S2</t>
        </is>
      </c>
      <c r="B66" s="18" t="n"/>
      <c r="C66" s="78" t="n"/>
      <c r="D66" s="78" t="n"/>
      <c r="E66" s="78" t="n"/>
      <c r="F66" s="78" t="n"/>
      <c r="G66" s="241" t="n"/>
      <c r="H66" s="241" t="n"/>
      <c r="I66" s="241" t="n"/>
      <c r="J66" s="241" t="n"/>
      <c r="K66" s="241" t="n"/>
      <c r="L66" s="29" t="n">
        <v>0</v>
      </c>
      <c r="M66" s="285" t="n"/>
      <c r="N66" s="241" t="n"/>
      <c r="O66" s="241" t="n"/>
      <c r="P66" s="241" t="n"/>
      <c r="Q66" s="241" t="n"/>
      <c r="R66" s="241" t="n"/>
      <c r="S66" s="241" t="n"/>
      <c r="T66" s="30" t="n"/>
      <c r="U66" s="241" t="n"/>
      <c r="V66" s="241" t="n"/>
      <c r="W66" s="241" t="n"/>
      <c r="X66" s="30" t="n"/>
      <c r="Y66" s="241" t="n"/>
      <c r="Z66" s="241" t="n"/>
      <c r="AA66" s="241" t="n"/>
      <c r="AB66" s="103" t="n"/>
      <c r="AC66" s="103" t="n"/>
      <c r="AD66" s="60" t="n"/>
    </row>
    <row r="67" hidden="1" outlineLevel="1" collapsed="1" ht="15.5" customFormat="1" customHeight="1" s="17">
      <c r="A67" s="94" t="inlineStr">
        <is>
          <t>T1</t>
        </is>
      </c>
      <c r="B67" s="21" t="n"/>
      <c r="C67" s="84" t="n"/>
      <c r="D67" s="84" t="n"/>
      <c r="E67" s="84" t="n"/>
      <c r="F67" s="83" t="n"/>
      <c r="G67" s="32" t="n"/>
      <c r="H67" s="32" t="n"/>
      <c r="I67" s="32" t="n"/>
      <c r="J67" s="32" t="n"/>
      <c r="K67" s="32" t="n"/>
      <c r="L67" s="20">
        <f>LOOKUP(1000,INDIRECT("L1:"&amp;CELL("address",INDIRECT("R[-1]C",FALSE))))+1</f>
        <v/>
      </c>
      <c r="M67" s="301" t="inlineStr">
        <is>
          <t>Target architecture &amp; requirements elaboration</t>
        </is>
      </c>
      <c r="N67" s="352" t="n"/>
      <c r="O67" s="5" t="n"/>
      <c r="P67" s="33" t="n"/>
      <c r="Q67" s="33" t="n"/>
      <c r="R67" s="33" t="n"/>
      <c r="S67" s="33" t="n"/>
      <c r="T67" s="167">
        <f>IF($S$6="Exclude", SUMIFS(S68:S71, J68:J71, "&lt;&gt;Yes", G68:G71, "&lt;&gt;Yes"), SUMIFS(S68:S71, J68:J71, "&lt;&gt;Yes"))</f>
        <v/>
      </c>
      <c r="U67" s="33" t="n"/>
      <c r="V67" s="33" t="n"/>
      <c r="W67" s="33" t="n"/>
      <c r="X67" s="34" t="n"/>
      <c r="Y67" s="35" t="n"/>
      <c r="Z67" s="35" t="n"/>
      <c r="AA67" s="35" t="n"/>
      <c r="AB67" s="240" t="n"/>
      <c r="AC67" s="36" t="n"/>
      <c r="AD67" s="26">
        <f>IF(M67="", "Error: Task name cannot be empty.", "")</f>
        <v/>
      </c>
    </row>
    <row r="68" hidden="1" outlineLevel="2" ht="1.5" customFormat="1" customHeight="1" s="15">
      <c r="A68" s="94" t="inlineStr">
        <is>
          <t>T2</t>
        </is>
      </c>
      <c r="B68" s="21" t="n"/>
      <c r="C68" s="84" t="n"/>
      <c r="D68" s="84" t="n"/>
      <c r="E68" s="84" t="n"/>
      <c r="F68" s="83" t="n"/>
      <c r="G68" s="32" t="n"/>
      <c r="H68" s="32" t="n"/>
      <c r="I68" s="32" t="n"/>
      <c r="J68" s="32" t="n"/>
      <c r="K68" s="32" t="n"/>
      <c r="L68" s="175">
        <f>L67</f>
        <v/>
      </c>
      <c r="M68" s="176" t="inlineStr">
        <is>
          <t>X</t>
        </is>
      </c>
      <c r="N68" s="173" t="n"/>
      <c r="O68" s="174" t="n"/>
      <c r="P68" s="33" t="n"/>
      <c r="Q68" s="33" t="n"/>
      <c r="R68" s="33" t="n"/>
      <c r="S68" s="33" t="n"/>
      <c r="T68" s="167" t="n"/>
      <c r="U68" s="33" t="n"/>
      <c r="V68" s="33" t="n"/>
      <c r="W68" s="33" t="n"/>
      <c r="X68" s="34" t="n"/>
      <c r="Y68" s="35" t="n"/>
      <c r="Z68" s="35" t="n"/>
      <c r="AA68" s="35" t="n"/>
      <c r="AB68" s="36" t="n"/>
      <c r="AC68" s="36" t="n"/>
      <c r="AD68" s="26" t="n"/>
    </row>
    <row r="69" hidden="1" outlineLevel="2" ht="43.5" customHeight="1" s="232">
      <c r="A69" s="94" t="inlineStr">
        <is>
          <t>A</t>
        </is>
      </c>
      <c r="B69" s="21" t="n"/>
      <c r="C69" s="85" t="n"/>
      <c r="D69" s="85" t="n"/>
      <c r="E69" s="85" t="n"/>
      <c r="F69" s="86" t="n"/>
      <c r="G69" s="22" t="inlineStr">
        <is>
          <t>-</t>
        </is>
      </c>
      <c r="H69" s="22" t="inlineStr">
        <is>
          <t>-</t>
        </is>
      </c>
      <c r="I69" s="23" t="inlineStr">
        <is>
          <t>-</t>
        </is>
      </c>
      <c r="J69" s="22" t="inlineStr">
        <is>
          <t>-</t>
        </is>
      </c>
      <c r="K69" s="38" t="n"/>
      <c r="L69" s="22" t="n"/>
      <c r="M69" s="286">
        <f>IFERROR(OFFSET(M69,-1,,1,1)+0.1,OFFSET(M69,-1,-1,1,1)&amp;".1")</f>
        <v/>
      </c>
      <c r="N69" s="23" t="inlineStr">
        <is>
          <t>AWS target architecture (S3/CloudFront, WAF, ALB, EKS) + network (VPC public/private)</t>
        </is>
      </c>
      <c r="O69" s="23" t="n"/>
      <c r="P69" s="23" t="n"/>
      <c r="Q69" s="144" t="n"/>
      <c r="R69" s="137" t="n"/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/>
      </c>
      <c r="T69" s="170" t="n"/>
      <c r="U69" s="24" t="n">
        <v>0</v>
      </c>
      <c r="V69" s="24" t="n">
        <v>1</v>
      </c>
      <c r="W69" s="24" t="n">
        <v>0</v>
      </c>
      <c r="X69" s="168" t="n"/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/>
      </c>
      <c r="Z69" s="25" t="n"/>
      <c r="AA69" s="169">
        <f>Y69+Y69*VLOOKUP(I69,EXTRAS_ARRAY,2,FALSE)</f>
        <v/>
      </c>
      <c r="AB69" s="23" t="n"/>
      <c r="AC69" s="37" t="n"/>
      <c r="AD69" s="26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hidden="1" outlineLevel="2" ht="43.5" customHeight="1" s="232">
      <c r="A70" s="94" t="inlineStr">
        <is>
          <t>A</t>
        </is>
      </c>
      <c r="B70" s="21" t="n"/>
      <c r="C70" s="85" t="n"/>
      <c r="D70" s="85" t="n"/>
      <c r="E70" s="85" t="n"/>
      <c r="F70" s="86" t="n"/>
      <c r="G70" s="22" t="inlineStr">
        <is>
          <t>-</t>
        </is>
      </c>
      <c r="H70" s="22" t="inlineStr">
        <is>
          <t>-</t>
        </is>
      </c>
      <c r="I70" s="23" t="inlineStr">
        <is>
          <t>-</t>
        </is>
      </c>
      <c r="J70" s="22" t="inlineStr">
        <is>
          <t>-</t>
        </is>
      </c>
      <c r="K70" s="38" t="n"/>
      <c r="L70" s="22" t="n"/>
      <c r="M70" s="286">
        <f>IFERROR(OFFSET(M70,-1,,1,1)+0.1,OFFSET(M70,-1,-1,1,1)&amp;".1")</f>
        <v/>
      </c>
      <c r="N70" s="23" t="inlineStr">
        <is>
          <t>Data architecture: Aurora vs DynamoDB vs Redis vs OpenSearch + data model outline</t>
        </is>
      </c>
      <c r="O70" s="23" t="n"/>
      <c r="P70" s="23" t="inlineStr">
        <is>
          <t>Tables</t>
        </is>
      </c>
      <c r="Q70" s="144" t="n"/>
      <c r="R70" s="137" t="n"/>
      <c r="S70" s="169">
        <f>CEILING((IF(J70="Yes", 0, IF(H70="-",AA70,AA70+AA70*VLOOKUP(H70,BUFFERS_BY_TYPE,2,FALSE)))) +
   (IF(J70="Yes", 0, IF(H70="-",AA70,AA70+AA70*VLOOKUP(H70,BUFFERS_BY_TYPE,2,FALSE))))*VLOOKUP($S$5, SALES_CALL_SCALE_ARRAY, 2,FALSE),0.25)</f>
        <v/>
      </c>
      <c r="T70" s="170" t="n"/>
      <c r="U70" s="24" t="n">
        <v>0</v>
      </c>
      <c r="V70" s="24" t="n">
        <v>1</v>
      </c>
      <c r="W70" s="24" t="n">
        <v>0</v>
      </c>
      <c r="X70" s="168" t="n"/>
      <c r="Y70" s="169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/>
      </c>
      <c r="Z70" s="25" t="n"/>
      <c r="AA70" s="169">
        <f>Y70+Y70*VLOOKUP(I70,EXTRAS_ARRAY,2,FALSE)</f>
        <v/>
      </c>
      <c r="AB70" s="23" t="n"/>
      <c r="AC70" s="37" t="n"/>
      <c r="AD70" s="26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hidden="1" outlineLevel="2" ht="7.5" customFormat="1" customHeight="1" s="11">
      <c r="A71" s="94" t="inlineStr">
        <is>
          <t>T3</t>
        </is>
      </c>
      <c r="B71" s="18" t="n"/>
      <c r="C71" s="78" t="n"/>
      <c r="D71" s="78" t="n"/>
      <c r="E71" s="78" t="n"/>
      <c r="F71" s="78" t="n"/>
      <c r="G71" s="11" t="n"/>
      <c r="H71" s="11" t="n"/>
      <c r="I71" s="11" t="n"/>
      <c r="J71" s="11" t="n"/>
      <c r="K71" s="11" t="n"/>
      <c r="L71" s="11" t="n"/>
      <c r="M71" s="287" t="n"/>
      <c r="N71" s="11" t="n"/>
      <c r="O71" s="11" t="n"/>
      <c r="P71" s="11" t="n"/>
      <c r="Q71" s="11" t="n"/>
      <c r="R71" s="11" t="n"/>
      <c r="S71" s="11" t="n"/>
      <c r="T71" s="18" t="n"/>
      <c r="U71" s="11" t="n"/>
      <c r="V71" s="11" t="n"/>
      <c r="W71" s="11" t="n"/>
      <c r="X71" s="18" t="n"/>
      <c r="Y71" s="11" t="n"/>
      <c r="Z71" s="11" t="n"/>
      <c r="AA71" s="11" t="n"/>
      <c r="AB71" s="60" t="n"/>
      <c r="AC71" s="60" t="n"/>
      <c r="AD71" s="60" t="n"/>
    </row>
    <row r="72" hidden="1" outlineLevel="1" collapsed="1" ht="15.5" customFormat="1" customHeight="1" s="17">
      <c r="A72" s="94" t="inlineStr">
        <is>
          <t>T1</t>
        </is>
      </c>
      <c r="B72" s="21" t="n"/>
      <c r="C72" s="84" t="n"/>
      <c r="D72" s="84" t="n"/>
      <c r="E72" s="84" t="n"/>
      <c r="F72" s="83" t="n"/>
      <c r="G72" s="32" t="n"/>
      <c r="H72" s="32" t="n"/>
      <c r="I72" s="32" t="n"/>
      <c r="J72" s="32" t="n"/>
      <c r="K72" s="32" t="n"/>
      <c r="L72" s="20">
        <f>LOOKUP(1000,INDIRECT("L1:"&amp;CELL("address",INDIRECT("R[-1]C",FALSE))))+1</f>
        <v/>
      </c>
      <c r="M72" s="301" t="inlineStr">
        <is>
          <t>POCs</t>
        </is>
      </c>
      <c r="N72" s="352" t="n"/>
      <c r="O72" s="5" t="n"/>
      <c r="P72" s="33" t="n"/>
      <c r="Q72" s="33" t="n"/>
      <c r="R72" s="33" t="n"/>
      <c r="S72" s="33" t="n"/>
      <c r="T72" s="167">
        <f>IF($S$6="Exclude", SUMIFS(S73:S75, J73:J75, "&lt;&gt;Yes", G73:G75, "&lt;&gt;Yes"), SUMIFS(S73:S75, J73:J75, "&lt;&gt;Yes"))</f>
        <v/>
      </c>
      <c r="U72" s="33" t="n"/>
      <c r="V72" s="33" t="n"/>
      <c r="W72" s="33" t="n"/>
      <c r="X72" s="34" t="n"/>
      <c r="Y72" s="35" t="n"/>
      <c r="Z72" s="35" t="n"/>
      <c r="AA72" s="35" t="n"/>
      <c r="AB72" s="240" t="n"/>
      <c r="AC72" s="36" t="n"/>
      <c r="AD72" s="26">
        <f>IF(M72="", "Error: Task name cannot be empty.", "")</f>
        <v/>
      </c>
    </row>
    <row r="73" hidden="1" outlineLevel="2" ht="1.5" customFormat="1" customHeight="1" s="15">
      <c r="A73" s="94" t="inlineStr">
        <is>
          <t>T2</t>
        </is>
      </c>
      <c r="B73" s="21" t="n"/>
      <c r="C73" s="84" t="n"/>
      <c r="D73" s="84" t="n"/>
      <c r="E73" s="84" t="n"/>
      <c r="F73" s="83" t="n"/>
      <c r="G73" s="32" t="n"/>
      <c r="H73" s="32" t="n"/>
      <c r="I73" s="32" t="n"/>
      <c r="J73" s="32" t="n"/>
      <c r="K73" s="32" t="n"/>
      <c r="L73" s="175">
        <f>L72</f>
        <v/>
      </c>
      <c r="M73" s="176" t="inlineStr">
        <is>
          <t>X</t>
        </is>
      </c>
      <c r="N73" s="173" t="n"/>
      <c r="O73" s="174" t="n"/>
      <c r="P73" s="33" t="n"/>
      <c r="Q73" s="33" t="n"/>
      <c r="R73" s="33" t="n"/>
      <c r="S73" s="33" t="n"/>
      <c r="T73" s="167" t="n"/>
      <c r="U73" s="33" t="n"/>
      <c r="V73" s="33" t="n"/>
      <c r="W73" s="33" t="n"/>
      <c r="X73" s="34" t="n"/>
      <c r="Y73" s="35" t="n"/>
      <c r="Z73" s="35" t="n"/>
      <c r="AA73" s="35" t="n"/>
      <c r="AB73" s="36" t="n"/>
      <c r="AC73" s="36" t="n"/>
      <c r="AD73" s="26" t="n"/>
    </row>
    <row r="74" hidden="1" outlineLevel="2" ht="43.5" customHeight="1" s="232">
      <c r="A74" s="94" t="inlineStr">
        <is>
          <t>A</t>
        </is>
      </c>
      <c r="B74" s="21" t="n"/>
      <c r="C74" s="85" t="n"/>
      <c r="D74" s="85" t="n"/>
      <c r="E74" s="85" t="n"/>
      <c r="F74" s="86" t="n"/>
      <c r="G74" s="22" t="inlineStr">
        <is>
          <t>-</t>
        </is>
      </c>
      <c r="H74" s="22" t="inlineStr">
        <is>
          <t>-</t>
        </is>
      </c>
      <c r="I74" s="23" t="inlineStr">
        <is>
          <t>-</t>
        </is>
      </c>
      <c r="J74" s="22" t="inlineStr">
        <is>
          <t>-</t>
        </is>
      </c>
      <c r="K74" s="38" t="n"/>
      <c r="L74" s="22" t="n"/>
      <c r="M74" s="286">
        <f>IFERROR(OFFSET(M74,-1,,1,1)+0.1,OFFSET(M74,-1,-1,1,1)&amp;".1")</f>
        <v/>
      </c>
      <c r="N74" s="23" t="inlineStr">
        <is>
          <t>POC: &lt;POC description&gt;</t>
        </is>
      </c>
      <c r="O74" s="23" t="n"/>
      <c r="P74" s="23" t="n"/>
      <c r="Q74" s="144" t="n"/>
      <c r="R74" s="137" t="n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/>
      </c>
      <c r="T74" s="170" t="n"/>
      <c r="U74" s="24" t="n">
        <v>0</v>
      </c>
      <c r="V74" s="24" t="n">
        <v>1</v>
      </c>
      <c r="W74" s="24" t="n">
        <v>0</v>
      </c>
      <c r="X74" s="168" t="n"/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/>
      </c>
      <c r="Z74" s="25" t="n"/>
      <c r="AA74" s="169">
        <f>Y74+Y74*VLOOKUP(I74,EXTRAS_ARRAY,2,FALSE)</f>
        <v/>
      </c>
      <c r="AB74" s="23" t="n"/>
      <c r="AC74" s="37" t="n"/>
      <c r="AD74" s="26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hidden="1" outlineLevel="2" ht="7.5" customFormat="1" customHeight="1" s="11">
      <c r="A75" s="94" t="inlineStr">
        <is>
          <t>T3</t>
        </is>
      </c>
      <c r="B75" s="18" t="n"/>
      <c r="C75" s="78" t="n"/>
      <c r="D75" s="78" t="n"/>
      <c r="E75" s="78" t="n"/>
      <c r="F75" s="78" t="n"/>
      <c r="G75" s="11" t="n"/>
      <c r="H75" s="11" t="n"/>
      <c r="I75" s="11" t="n"/>
      <c r="J75" s="11" t="n"/>
      <c r="K75" s="11" t="n"/>
      <c r="L75" s="11" t="n"/>
      <c r="M75" s="287" t="n"/>
      <c r="N75" s="11" t="n"/>
      <c r="O75" s="11" t="n"/>
      <c r="P75" s="11" t="n"/>
      <c r="Q75" s="11" t="n"/>
      <c r="R75" s="11" t="n"/>
      <c r="S75" s="11" t="n"/>
      <c r="T75" s="18" t="n"/>
      <c r="U75" s="11" t="n"/>
      <c r="V75" s="11" t="n"/>
      <c r="W75" s="11" t="n"/>
      <c r="X75" s="18" t="n"/>
      <c r="Y75" s="11" t="n"/>
      <c r="Z75" s="11" t="n"/>
      <c r="AA75" s="11" t="n"/>
      <c r="AB75" s="60" t="n"/>
      <c r="AC75" s="60" t="n"/>
      <c r="AD75" s="60" t="n"/>
    </row>
    <row r="76" hidden="1" outlineLevel="1" collapsed="1" ht="15.5" customFormat="1" customHeight="1" s="17">
      <c r="A76" s="94" t="inlineStr">
        <is>
          <t>T1</t>
        </is>
      </c>
      <c r="B76" s="21" t="n"/>
      <c r="C76" s="84" t="n"/>
      <c r="D76" s="84" t="n"/>
      <c r="E76" s="84" t="n"/>
      <c r="F76" s="83" t="n"/>
      <c r="G76" s="32" t="n"/>
      <c r="H76" s="32" t="n"/>
      <c r="I76" s="32" t="n"/>
      <c r="J76" s="32" t="n"/>
      <c r="K76" s="32" t="n"/>
      <c r="L76" s="20">
        <f>LOOKUP(1000,INDIRECT("L1:"&amp;CELL("address",INDIRECT("R[-1]C",FALSE))))+1</f>
        <v/>
      </c>
      <c r="M76" s="301" t="inlineStr">
        <is>
          <t>Design Analysis and Documentation</t>
        </is>
      </c>
      <c r="N76" s="352" t="n"/>
      <c r="O76" s="5" t="n"/>
      <c r="P76" s="33" t="n"/>
      <c r="Q76" s="33" t="n"/>
      <c r="R76" s="33" t="n"/>
      <c r="S76" s="33" t="n"/>
      <c r="T76" s="167">
        <f>IF($S$6="Exclude", SUMIFS(S77:S82, J77:J82, "&lt;&gt;Yes", G77:G82, "&lt;&gt;Yes"), SUMIFS(S77:S82, J77:J82, "&lt;&gt;Yes"))</f>
        <v/>
      </c>
      <c r="U76" s="33" t="n"/>
      <c r="V76" s="33" t="n"/>
      <c r="W76" s="33" t="n"/>
      <c r="X76" s="34" t="n"/>
      <c r="Y76" s="35" t="n"/>
      <c r="Z76" s="35" t="n"/>
      <c r="AA76" s="35" t="n"/>
      <c r="AB76" s="240" t="n"/>
      <c r="AC76" s="36" t="n"/>
      <c r="AD76" s="26">
        <f>IF(M76="", "Error: Task name cannot be empty.", "")</f>
        <v/>
      </c>
    </row>
    <row r="77" hidden="1" outlineLevel="2" ht="1.5" customFormat="1" customHeight="1" s="15">
      <c r="A77" s="94" t="inlineStr">
        <is>
          <t>T2</t>
        </is>
      </c>
      <c r="B77" s="21" t="n"/>
      <c r="C77" s="84" t="n"/>
      <c r="D77" s="84" t="n"/>
      <c r="E77" s="84" t="n"/>
      <c r="F77" s="83" t="n"/>
      <c r="G77" s="32" t="n"/>
      <c r="H77" s="32" t="n"/>
      <c r="I77" s="32" t="n"/>
      <c r="J77" s="32" t="n"/>
      <c r="K77" s="32" t="n"/>
      <c r="L77" s="175">
        <f>L76</f>
        <v/>
      </c>
      <c r="M77" s="176" t="inlineStr">
        <is>
          <t>X</t>
        </is>
      </c>
      <c r="N77" s="173" t="n"/>
      <c r="O77" s="174" t="n"/>
      <c r="P77" s="33" t="n"/>
      <c r="Q77" s="33" t="n"/>
      <c r="R77" s="33" t="n"/>
      <c r="S77" s="33" t="n"/>
      <c r="T77" s="167" t="n"/>
      <c r="U77" s="33" t="n"/>
      <c r="V77" s="33" t="n"/>
      <c r="W77" s="33" t="n"/>
      <c r="X77" s="34" t="n"/>
      <c r="Y77" s="35" t="n"/>
      <c r="Z77" s="35" t="n"/>
      <c r="AA77" s="35" t="n"/>
      <c r="AB77" s="36" t="n"/>
      <c r="AC77" s="36" t="n"/>
      <c r="AD77" s="26" t="n"/>
    </row>
    <row r="78" hidden="1" outlineLevel="2" ht="43.5" customHeight="1" s="232">
      <c r="A78" s="94" t="inlineStr">
        <is>
          <t>A</t>
        </is>
      </c>
      <c r="B78" s="21" t="n"/>
      <c r="C78" s="85" t="n"/>
      <c r="D78" s="85" t="n"/>
      <c r="E78" s="85" t="n"/>
      <c r="F78" s="86" t="n"/>
      <c r="G78" s="22" t="inlineStr">
        <is>
          <t>-</t>
        </is>
      </c>
      <c r="H78" s="22" t="inlineStr">
        <is>
          <t>-</t>
        </is>
      </c>
      <c r="I78" s="23" t="inlineStr">
        <is>
          <t>-</t>
        </is>
      </c>
      <c r="J78" s="22" t="inlineStr">
        <is>
          <t>-</t>
        </is>
      </c>
      <c r="K78" s="38" t="n"/>
      <c r="L78" s="22" t="n"/>
      <c r="M78" s="286">
        <f>IFERROR(OFFSET(M78,-1,,1,1)+0.1,OFFSET(M78,-1,-1,1,1)&amp;".1")</f>
        <v/>
      </c>
      <c r="N78" s="23" t="inlineStr">
        <is>
          <t>High-level solution design (architecture diagram, data flows, security boundaries)</t>
        </is>
      </c>
      <c r="O78" s="23" t="n"/>
      <c r="P78" s="23" t="n"/>
      <c r="Q78" s="144" t="n"/>
      <c r="R78" s="137" t="n"/>
      <c r="S78" s="169">
        <f>CEILING((IF(J78="Yes", 0, IF(H78="-",AA78,AA78+AA78*VLOOKUP(H78,BUFFERS_BY_TYPE,2,FALSE)))) +
   (IF(J78="Yes", 0, IF(H78="-",AA78,AA78+AA78*VLOOKUP(H78,BUFFERS_BY_TYPE,2,FALSE))))*VLOOKUP($S$5, SALES_CALL_SCALE_ARRAY, 2,FALSE),0.25)</f>
        <v/>
      </c>
      <c r="T78" s="170" t="n"/>
      <c r="U78" s="24" t="n">
        <v>0</v>
      </c>
      <c r="V78" s="24" t="n">
        <v>1</v>
      </c>
      <c r="W78" s="24" t="n">
        <v>0</v>
      </c>
      <c r="X78" s="168" t="n"/>
      <c r="Y78" s="169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/>
      </c>
      <c r="Z78" s="25" t="n"/>
      <c r="AA78" s="169">
        <f>Y78+Y78*VLOOKUP(I78,EXTRAS_ARRAY,2,FALSE)</f>
        <v/>
      </c>
      <c r="AB78" s="23" t="n"/>
      <c r="AC78" s="37" t="n"/>
      <c r="AD78" s="26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hidden="1" outlineLevel="2" ht="43.5" customHeight="1" s="232">
      <c r="A79" s="94" t="inlineStr">
        <is>
          <t>A</t>
        </is>
      </c>
      <c r="B79" s="21" t="n"/>
      <c r="C79" s="85" t="n"/>
      <c r="D79" s="85" t="n"/>
      <c r="E79" s="85" t="n"/>
      <c r="F79" s="86" t="n"/>
      <c r="G79" s="22" t="inlineStr">
        <is>
          <t>-</t>
        </is>
      </c>
      <c r="H79" s="22" t="inlineStr">
        <is>
          <t>-</t>
        </is>
      </c>
      <c r="I79" s="23" t="inlineStr">
        <is>
          <t>-</t>
        </is>
      </c>
      <c r="J79" s="22" t="inlineStr">
        <is>
          <t>-</t>
        </is>
      </c>
      <c r="K79" s="38" t="n"/>
      <c r="L79" s="22" t="n"/>
      <c r="M79" s="286">
        <f>IFERROR(OFFSET(M79,-1,,1,1)+0.1,OFFSET(M79,-1,-1,1,1)&amp;".1")</f>
        <v/>
      </c>
      <c r="N79" s="23" t="inlineStr">
        <is>
          <t>Low-level design for microservices (Catalog/Cart/Order) + API contracts</t>
        </is>
      </c>
      <c r="O79" s="23" t="n"/>
      <c r="P79" s="23" t="n"/>
      <c r="Q79" s="144" t="n"/>
      <c r="R79" s="137" t="n"/>
      <c r="S79" s="169">
        <f>CEILING((IF(J79="Yes", 0, IF(H79="-",AA79,AA79+AA79*VLOOKUP(H79,BUFFERS_BY_TYPE,2,FALSE)))) +
   (IF(J79="Yes", 0, IF(H79="-",AA79,AA79+AA79*VLOOKUP(H79,BUFFERS_BY_TYPE,2,FALSE))))*VLOOKUP($S$5, SALES_CALL_SCALE_ARRAY, 2,FALSE),0.25)</f>
        <v/>
      </c>
      <c r="T79" s="170" t="n"/>
      <c r="U79" s="24" t="n">
        <v>0</v>
      </c>
      <c r="V79" s="24" t="n">
        <v>1</v>
      </c>
      <c r="W79" s="24" t="n">
        <v>0</v>
      </c>
      <c r="X79" s="168" t="n"/>
      <c r="Y79" s="169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/>
      </c>
      <c r="Z79" s="25" t="n"/>
      <c r="AA79" s="169">
        <f>Y79+Y79*VLOOKUP(I79,EXTRAS_ARRAY,2,FALSE)</f>
        <v/>
      </c>
      <c r="AB79" s="23" t="n"/>
      <c r="AC79" s="37" t="n"/>
      <c r="AD79" s="26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hidden="1" outlineLevel="2" ht="43.5" customHeight="1" s="232">
      <c r="A80" s="94" t="inlineStr">
        <is>
          <t>A</t>
        </is>
      </c>
      <c r="B80" s="21" t="n"/>
      <c r="C80" s="85" t="n"/>
      <c r="D80" s="85" t="n"/>
      <c r="E80" s="85" t="n"/>
      <c r="F80" s="86" t="n"/>
      <c r="G80" s="22" t="inlineStr">
        <is>
          <t>-</t>
        </is>
      </c>
      <c r="H80" s="22" t="inlineStr">
        <is>
          <t>-</t>
        </is>
      </c>
      <c r="I80" s="23" t="inlineStr">
        <is>
          <t>-</t>
        </is>
      </c>
      <c r="J80" s="22" t="inlineStr">
        <is>
          <t>-</t>
        </is>
      </c>
      <c r="K80" s="38" t="n"/>
      <c r="L80" s="22" t="n"/>
      <c r="M80" s="286">
        <f>IFERROR(OFFSET(M80,-1,,1,1)+0.1,OFFSET(M80,-1,-1,1,1)&amp;".1")</f>
        <v/>
      </c>
      <c r="N80" s="23" t="inlineStr">
        <is>
          <t>Kubernetes design (namespaces, ingress, services, HPA/PDB) + deployment strategy</t>
        </is>
      </c>
      <c r="O80" s="23" t="n"/>
      <c r="P80" s="23" t="inlineStr">
        <is>
          <t>Tables</t>
        </is>
      </c>
      <c r="Q80" s="144" t="n">
        <v>1</v>
      </c>
      <c r="R80" s="137" t="n"/>
      <c r="S80" s="169">
        <f>CEILING((IF(J80="Yes", 0, IF(H80="-",AA80,AA80+AA80*VLOOKUP(H80,BUFFERS_BY_TYPE,2,FALSE)))) +
   (IF(J80="Yes", 0, IF(H80="-",AA80,AA80+AA80*VLOOKUP(H80,BUFFERS_BY_TYPE,2,FALSE))))*VLOOKUP($S$5, SALES_CALL_SCALE_ARRAY, 2,FALSE),0.25)</f>
        <v/>
      </c>
      <c r="T80" s="170" t="n"/>
      <c r="U80" s="24" t="n">
        <v>0</v>
      </c>
      <c r="V80" s="24" t="n">
        <v>1</v>
      </c>
      <c r="W80" s="24" t="n">
        <v>0</v>
      </c>
      <c r="X80" s="168" t="n"/>
      <c r="Y80" s="169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/>
      </c>
      <c r="Z80" s="25" t="n"/>
      <c r="AA80" s="169">
        <f>Y80+Y80*VLOOKUP(I80,EXTRAS_ARRAY,2,FALSE)</f>
        <v/>
      </c>
      <c r="AB80" s="23" t="n"/>
      <c r="AC80" s="37" t="n"/>
      <c r="AD80" s="26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hidden="1" outlineLevel="2" ht="43.5" customHeight="1" s="232">
      <c r="A81" s="94" t="inlineStr">
        <is>
          <t>A</t>
        </is>
      </c>
      <c r="B81" s="21" t="n"/>
      <c r="C81" s="85" t="n"/>
      <c r="D81" s="85" t="n"/>
      <c r="E81" s="85" t="n"/>
      <c r="F81" s="86" t="n"/>
      <c r="G81" s="22" t="inlineStr">
        <is>
          <t>-</t>
        </is>
      </c>
      <c r="H81" s="22" t="inlineStr">
        <is>
          <t>-</t>
        </is>
      </c>
      <c r="I81" s="23" t="inlineStr">
        <is>
          <t>-</t>
        </is>
      </c>
      <c r="J81" s="22" t="inlineStr">
        <is>
          <t>-</t>
        </is>
      </c>
      <c r="K81" s="38" t="n"/>
      <c r="L81" s="22" t="n"/>
      <c r="M81" s="286">
        <f>IFERROR(OFFSET(M81,-1,,1,1)+0.1,OFFSET(M81,-1,-1,1,1)&amp;".1")</f>
        <v/>
      </c>
      <c r="N81" s="23" t="inlineStr">
        <is>
          <t>Review and Sign-off
&gt;&gt; Client review iterations and sign-off on design documents</t>
        </is>
      </c>
      <c r="O81" s="23" t="n"/>
      <c r="P81" s="23" t="n"/>
      <c r="Q81" s="144" t="n"/>
      <c r="R81" s="137" t="n"/>
      <c r="S81" s="169">
        <f>CEILING((IF(J81="Yes", 0, IF(H81="-",AA81,AA81+AA81*VLOOKUP(H81,BUFFERS_BY_TYPE,2,FALSE)))) +
   (IF(J81="Yes", 0, IF(H81="-",AA81,AA81+AA81*VLOOKUP(H81,BUFFERS_BY_TYPE,2,FALSE))))*VLOOKUP($S$5, SALES_CALL_SCALE_ARRAY, 2,FALSE),0.25)</f>
        <v/>
      </c>
      <c r="T81" s="170" t="n"/>
      <c r="U81" s="24" t="n">
        <v>0</v>
      </c>
      <c r="V81" s="24" t="n">
        <v>1</v>
      </c>
      <c r="W81" s="24" t="n">
        <v>0</v>
      </c>
      <c r="X81" s="168" t="n"/>
      <c r="Y81" s="169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/>
      </c>
      <c r="Z81" s="25" t="n"/>
      <c r="AA81" s="169">
        <f>Y81+Y81*VLOOKUP(I81,EXTRAS_ARRAY,2,FALSE)</f>
        <v/>
      </c>
      <c r="AB81" s="23" t="n"/>
      <c r="AC81" s="37" t="n"/>
      <c r="AD81" s="26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hidden="1" outlineLevel="2" ht="7.5" customFormat="1" customHeight="1" s="11">
      <c r="A82" s="94" t="inlineStr">
        <is>
          <t>T3</t>
        </is>
      </c>
      <c r="B82" s="18" t="n"/>
      <c r="C82" s="78" t="n"/>
      <c r="D82" s="78" t="n"/>
      <c r="E82" s="78" t="n"/>
      <c r="F82" s="78" t="n"/>
      <c r="G82" s="11" t="n"/>
      <c r="H82" s="11" t="n"/>
      <c r="I82" s="11" t="n"/>
      <c r="J82" s="11" t="n"/>
      <c r="K82" s="11" t="n"/>
      <c r="L82" s="11" t="n"/>
      <c r="M82" s="287" t="n"/>
      <c r="N82" s="11" t="n"/>
      <c r="O82" s="11" t="n"/>
      <c r="P82" s="11" t="n"/>
      <c r="Q82" s="11" t="n"/>
      <c r="R82" s="11" t="n"/>
      <c r="S82" s="11" t="n"/>
      <c r="T82" s="18" t="n"/>
      <c r="U82" s="11" t="n"/>
      <c r="V82" s="11" t="n"/>
      <c r="W82" s="11" t="n"/>
      <c r="X82" s="18" t="n"/>
      <c r="Y82" s="11" t="n"/>
      <c r="Z82" s="11" t="n"/>
      <c r="AA82" s="11" t="n"/>
      <c r="AB82" s="60" t="n"/>
      <c r="AC82" s="60" t="n"/>
      <c r="AD82" s="60" t="n"/>
    </row>
    <row r="83" hidden="1" outlineLevel="1" collapsed="1" ht="15.5" customFormat="1" customHeight="1" s="17">
      <c r="A83" s="94" t="inlineStr">
        <is>
          <t>T1</t>
        </is>
      </c>
      <c r="B83" s="21" t="n"/>
      <c r="C83" s="84" t="n"/>
      <c r="D83" s="84" t="n"/>
      <c r="E83" s="84" t="n"/>
      <c r="F83" s="83" t="n"/>
      <c r="G83" s="32" t="n"/>
      <c r="H83" s="32" t="n"/>
      <c r="I83" s="32" t="n"/>
      <c r="J83" s="32" t="n"/>
      <c r="K83" s="32" t="n"/>
      <c r="L83" s="20">
        <f>LOOKUP(1000,INDIRECT("L1:"&amp;CELL("address",INDIRECT("R[-1]C",FALSE))))+1</f>
        <v/>
      </c>
      <c r="M83" s="301" t="inlineStr">
        <is>
          <t>Application framework construction</t>
        </is>
      </c>
      <c r="N83" s="352" t="n"/>
      <c r="O83" s="5" t="n"/>
      <c r="P83" s="33" t="n"/>
      <c r="Q83" s="33" t="n"/>
      <c r="R83" s="33" t="n"/>
      <c r="S83" s="33" t="n"/>
      <c r="T83" s="167">
        <f>IF($S$6="Exclude", SUMIFS(S84:S93, J84:J93, "&lt;&gt;Yes", G84:G93, "&lt;&gt;Yes"), SUMIFS(S84:S93, J84:J93, "&lt;&gt;Yes"))</f>
        <v/>
      </c>
      <c r="U83" s="33" t="n"/>
      <c r="V83" s="33" t="n"/>
      <c r="W83" s="33" t="n"/>
      <c r="X83" s="34" t="n"/>
      <c r="Y83" s="35" t="n"/>
      <c r="Z83" s="35" t="n"/>
      <c r="AA83" s="35" t="n"/>
      <c r="AB83" s="240" t="n"/>
      <c r="AC83" s="36" t="n"/>
      <c r="AD83" s="26">
        <f>IF(M83="", "Error: Task name cannot be empty.", "")</f>
        <v/>
      </c>
    </row>
    <row r="84" hidden="1" outlineLevel="2" ht="1.5" customFormat="1" customHeight="1" s="15">
      <c r="A84" s="94" t="inlineStr">
        <is>
          <t>T2</t>
        </is>
      </c>
      <c r="B84" s="21" t="n"/>
      <c r="C84" s="84" t="n"/>
      <c r="D84" s="84" t="n"/>
      <c r="E84" s="84" t="n"/>
      <c r="F84" s="83" t="n"/>
      <c r="G84" s="32" t="n"/>
      <c r="H84" s="32" t="n"/>
      <c r="I84" s="32" t="n"/>
      <c r="J84" s="32" t="n"/>
      <c r="K84" s="32" t="n"/>
      <c r="L84" s="175">
        <f>L83</f>
        <v/>
      </c>
      <c r="M84" s="176" t="inlineStr">
        <is>
          <t>X</t>
        </is>
      </c>
      <c r="N84" s="173" t="n"/>
      <c r="O84" s="174" t="n"/>
      <c r="P84" s="33" t="n"/>
      <c r="Q84" s="33" t="n"/>
      <c r="R84" s="33" t="n"/>
      <c r="S84" s="33" t="n"/>
      <c r="T84" s="167" t="n"/>
      <c r="U84" s="33" t="n"/>
      <c r="V84" s="33" t="n"/>
      <c r="W84" s="33" t="n"/>
      <c r="X84" s="34" t="n"/>
      <c r="Y84" s="35" t="n"/>
      <c r="Z84" s="35" t="n"/>
      <c r="AA84" s="35" t="n"/>
      <c r="AB84" s="36" t="n"/>
      <c r="AC84" s="36" t="n"/>
      <c r="AD84" s="26" t="n"/>
    </row>
    <row r="85" hidden="1" outlineLevel="2" ht="72.5" customHeight="1" s="232">
      <c r="A85" s="94" t="inlineStr">
        <is>
          <t>A</t>
        </is>
      </c>
      <c r="B85" s="21" t="n"/>
      <c r="C85" s="85" t="n"/>
      <c r="D85" s="85" t="n"/>
      <c r="E85" s="85" t="n"/>
      <c r="F85" s="86" t="n"/>
      <c r="G85" s="22" t="inlineStr">
        <is>
          <t>-</t>
        </is>
      </c>
      <c r="H85" s="22" t="inlineStr">
        <is>
          <t>-</t>
        </is>
      </c>
      <c r="I85" s="23" t="inlineStr">
        <is>
          <t>-</t>
        </is>
      </c>
      <c r="J85" s="22" t="inlineStr">
        <is>
          <t>-</t>
        </is>
      </c>
      <c r="K85" s="38" t="n"/>
      <c r="L85" s="22" t="n"/>
      <c r="M85" s="286">
        <f>IFERROR(OFFSET(M85,-1,,1,1)+0.1,OFFSET(M85,-1,-1,1,1)&amp;".1")</f>
        <v/>
      </c>
      <c r="N85" s="23" t="inlineStr">
        <is>
          <t>Multi-layered architecture:
&gt;&gt; DAL, ORM, BLL, Façade, WCF services and Presentation layer
&gt;&gt; Communication design across layers through interfaces and DTOs</t>
        </is>
      </c>
      <c r="O85" s="23" t="n"/>
      <c r="P85" s="23" t="n"/>
      <c r="Q85" s="144" t="n"/>
      <c r="R85" s="137" t="n"/>
      <c r="S85" s="169">
        <f>CEILING((IF(J85="Yes", 0, IF(H85="-",AA85,AA85+AA85*VLOOKUP(H85,BUFFERS_BY_TYPE,2,FALSE)))) +
   (IF(J85="Yes", 0, IF(H85="-",AA85,AA85+AA85*VLOOKUP(H85,BUFFERS_BY_TYPE,2,FALSE))))*VLOOKUP($S$5, SALES_CALL_SCALE_ARRAY, 2,FALSE),0.25)</f>
        <v/>
      </c>
      <c r="T85" s="170" t="n"/>
      <c r="U85" s="24" t="n">
        <v>0</v>
      </c>
      <c r="V85" s="24" t="n">
        <v>1</v>
      </c>
      <c r="W85" s="24" t="n">
        <v>0</v>
      </c>
      <c r="X85" s="168" t="n"/>
      <c r="Y85" s="169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/>
      </c>
      <c r="Z85" s="25" t="n"/>
      <c r="AA85" s="169">
        <f>Y85+Y85*VLOOKUP(I85,EXTRAS_ARRAY,2,FALSE)</f>
        <v/>
      </c>
      <c r="AB85" s="23" t="n"/>
      <c r="AC85" s="37" t="n"/>
      <c r="AD85" s="26">
        <f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hidden="1" outlineLevel="2" ht="43.5" customHeight="1" s="232">
      <c r="A86" s="94" t="inlineStr">
        <is>
          <t>A</t>
        </is>
      </c>
      <c r="B86" s="21" t="n"/>
      <c r="C86" s="85" t="n"/>
      <c r="D86" s="85" t="n"/>
      <c r="E86" s="85" t="n"/>
      <c r="F86" s="86" t="n"/>
      <c r="G86" s="22" t="inlineStr">
        <is>
          <t>-</t>
        </is>
      </c>
      <c r="H86" s="22" t="inlineStr">
        <is>
          <t>-</t>
        </is>
      </c>
      <c r="I86" s="23" t="inlineStr">
        <is>
          <t>-</t>
        </is>
      </c>
      <c r="J86" s="22" t="inlineStr">
        <is>
          <t>-</t>
        </is>
      </c>
      <c r="K86" s="38" t="n"/>
      <c r="L86" s="22" t="n"/>
      <c r="M86" s="286">
        <f>IFERROR(OFFSET(M86,-1,,1,1)+0.1,OFFSET(M86,-1,-1,1,1)&amp;".1")</f>
        <v/>
      </c>
      <c r="N86" s="23" t="inlineStr">
        <is>
          <t>X-cutting layers
&gt;&gt; Logging, Exception handling, caching, notification, etc.</t>
        </is>
      </c>
      <c r="O86" s="23" t="n"/>
      <c r="P86" s="23" t="n"/>
      <c r="Q86" s="144" t="n"/>
      <c r="R86" s="137" t="n"/>
      <c r="S86" s="169">
        <f>CEILING((IF(J86="Yes", 0, IF(H86="-",AA86,AA86+AA86*VLOOKUP(H86,BUFFERS_BY_TYPE,2,FALSE)))) +
(IF(J86="Yes", 0, IF(H86="-",AA86,AA86+AA86*VLOOKUP(H86,BUFFERS_BY_TYPE,2,FALSE))))*VLOOKUP($S$5, SALES_CALL_SCALE_ARRAY, 2,FALSE),0.25)</f>
        <v/>
      </c>
      <c r="T86" s="170" t="n"/>
      <c r="U86" s="24" t="n">
        <v>0</v>
      </c>
      <c r="V86" s="24" t="n">
        <v>1</v>
      </c>
      <c r="W86" s="24" t="n">
        <v>0</v>
      </c>
      <c r="X86" s="168" t="n"/>
      <c r="Y86" s="169">
        <f>CEILING((IF(P86=AS_DEV_EFFORT, DEV_EFFORT*Q86%,
IF(P86=AS_DURATION_EFFORT, (MANUAL_DURATION*5)*Q86%,
(IF(Q86&lt;=1,X86,
IF(SUM(U86:W86)=0,(Q86*X86),
(((Q86*U86)*(X86+(X86*EXTRA_FOR_H)))+
((Q86*V86)*X86)+
((Q86*W86)*(X86-(X86*LESS_FOR_L)))
)*IF(R86=0,1,R86))))))+Z86), 0.25)</f>
        <v/>
      </c>
      <c r="Z86" s="25" t="n"/>
      <c r="AA86" s="169">
        <f>Y86+Y86*VLOOKUP(I86,EXTRAS_ARRAY,2,FALSE)</f>
        <v/>
      </c>
      <c r="AB86" s="23" t="n"/>
      <c r="AC86" s="37" t="n"/>
      <c r="AD86" s="26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hidden="1" outlineLevel="2" ht="43.5" customHeight="1" s="232">
      <c r="A87" s="94" t="inlineStr">
        <is>
          <t>A</t>
        </is>
      </c>
      <c r="B87" s="21" t="n"/>
      <c r="C87" s="85" t="n"/>
      <c r="D87" s="85" t="n"/>
      <c r="E87" s="85" t="n"/>
      <c r="F87" s="86" t="n"/>
      <c r="G87" s="22" t="inlineStr">
        <is>
          <t>-</t>
        </is>
      </c>
      <c r="H87" s="22" t="inlineStr">
        <is>
          <t>-</t>
        </is>
      </c>
      <c r="I87" s="23" t="inlineStr">
        <is>
          <t>-</t>
        </is>
      </c>
      <c r="J87" s="22" t="inlineStr">
        <is>
          <t>-</t>
        </is>
      </c>
      <c r="K87" s="38" t="n"/>
      <c r="L87" s="22" t="n"/>
      <c r="M87" s="286">
        <f>IFERROR(OFFSET(M87,-1,,1,1)+0.1,OFFSET(M87,-1,-1,1,1)&amp;".1")</f>
        <v/>
      </c>
      <c r="N87" s="23" t="inlineStr">
        <is>
          <t>Security design (WAF rules, IAM/IRSA, Secrets, encryption, least privilege)</t>
        </is>
      </c>
      <c r="O87" s="23" t="n"/>
      <c r="P87" s="23" t="n"/>
      <c r="Q87" s="144" t="n"/>
      <c r="R87" s="137" t="n"/>
      <c r="S87" s="169">
        <f>CEILING((IF(J87="Yes", 0, IF(H87="-",AA87,AA87+AA87*VLOOKUP(H87,BUFFERS_BY_TYPE,2,FALSE)))) +
(IF(J87="Yes", 0, IF(H87="-",AA87,AA87+AA87*VLOOKUP(H87,BUFFERS_BY_TYPE,2,FALSE))))*VLOOKUP($S$5, SALES_CALL_SCALE_ARRAY, 2,FALSE),0.25)</f>
        <v/>
      </c>
      <c r="T87" s="170" t="n"/>
      <c r="U87" s="24" t="n">
        <v>0</v>
      </c>
      <c r="V87" s="24" t="n">
        <v>1</v>
      </c>
      <c r="W87" s="24" t="n">
        <v>0</v>
      </c>
      <c r="X87" s="168" t="n"/>
      <c r="Y87" s="169">
        <f>CEILING((IF(P87=AS_DEV_EFFORT, DEV_EFFORT*Q87%,
IF(P87=AS_DURATION_EFFORT, (MANUAL_DURATION*5)*Q87%,
(IF(Q87&lt;=1,X87,
IF(SUM(U87:W87)=0,(Q87*X87),
(((Q87*U87)*(X87+(X87*EXTRA_FOR_H)))+
((Q87*V87)*X87)+
((Q87*W87)*(X87-(X87*LESS_FOR_L)))
)*IF(R87=0,1,R87))))))+Z87), 0.25)</f>
        <v/>
      </c>
      <c r="Z87" s="25" t="n"/>
      <c r="AA87" s="169">
        <f>Y87+Y87*VLOOKUP(I87,EXTRAS_ARRAY,2,FALSE)</f>
        <v/>
      </c>
      <c r="AB87" s="23" t="n"/>
      <c r="AC87" s="37" t="n"/>
      <c r="AD87" s="26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hidden="1" outlineLevel="2" ht="43.5" customHeight="1" s="232">
      <c r="A88" s="94" t="inlineStr">
        <is>
          <t>A</t>
        </is>
      </c>
      <c r="B88" s="21" t="n"/>
      <c r="C88" s="85" t="n"/>
      <c r="D88" s="85" t="n"/>
      <c r="E88" s="85" t="n"/>
      <c r="F88" s="86" t="n"/>
      <c r="G88" s="22" t="inlineStr">
        <is>
          <t>-</t>
        </is>
      </c>
      <c r="H88" s="22" t="inlineStr">
        <is>
          <t>-</t>
        </is>
      </c>
      <c r="I88" s="23" t="inlineStr">
        <is>
          <t>-</t>
        </is>
      </c>
      <c r="J88" s="22" t="inlineStr">
        <is>
          <t>-</t>
        </is>
      </c>
      <c r="K88" s="38" t="n"/>
      <c r="L88" s="22" t="n"/>
      <c r="M88" s="286">
        <f>IFERROR(OFFSET(M88,-1,,1,1)+0.1,OFFSET(M88,-1,-1,1,1)&amp;".1")</f>
        <v/>
      </c>
      <c r="N88" s="23" t="inlineStr">
        <is>
          <t>Multi-lingual support</t>
        </is>
      </c>
      <c r="O88" s="23" t="n"/>
      <c r="P88" s="23" t="n"/>
      <c r="Q88" s="144" t="n"/>
      <c r="R88" s="137" t="n"/>
      <c r="S88" s="169">
        <f>CEILING((IF(J88="Yes", 0, IF(H88="-",AA88,AA88+AA88*VLOOKUP(H88,BUFFERS_BY_TYPE,2,FALSE)))) +
(IF(J88="Yes", 0, IF(H88="-",AA88,AA88+AA88*VLOOKUP(H88,BUFFERS_BY_TYPE,2,FALSE))))*VLOOKUP($S$5, SALES_CALL_SCALE_ARRAY, 2,FALSE),0.25)</f>
        <v/>
      </c>
      <c r="T88" s="170" t="n"/>
      <c r="U88" s="24" t="n">
        <v>0</v>
      </c>
      <c r="V88" s="24" t="n">
        <v>1</v>
      </c>
      <c r="W88" s="24" t="n">
        <v>0</v>
      </c>
      <c r="X88" s="168" t="n"/>
      <c r="Y88" s="169">
        <f>CEILING((IF(P88=AS_DEV_EFFORT, DEV_EFFORT*Q88%,
IF(P88=AS_DURATION_EFFORT, (MANUAL_DURATION*5)*Q88%,
(IF(Q88&lt;=1,X88,
IF(SUM(U88:W88)=0,(Q88*X88),
(((Q88*U88)*(X88+(X88*EXTRA_FOR_H)))+
((Q88*V88)*X88)+
((Q88*W88)*(X88-(X88*LESS_FOR_L)))
)*IF(R88=0,1,R88))))))+Z88), 0.25)</f>
        <v/>
      </c>
      <c r="Z88" s="25" t="n"/>
      <c r="AA88" s="169">
        <f>Y88+Y88*VLOOKUP(I88,EXTRAS_ARRAY,2,FALSE)</f>
        <v/>
      </c>
      <c r="AB88" s="23" t="n"/>
      <c r="AC88" s="37" t="n"/>
      <c r="AD88" s="26">
        <f>IF(J88&lt;&gt;"Yes",
IF(S88&lt;=0,"Error: Effort value is not defined or is invalid.",
IF(AND(SUM(U88:W88)&gt;0,SUM(U88:W88)&lt;&gt;1),"Error: Complexity % distribution should sum to 100%.",
IF(AND(P88=AS_DEV_EFFORT,X88&lt;&gt;0),"Error: PDs should not be defined when defining as dev effort %.",
IF(AND(P88=AS_DURATION_EFFORT,X88&lt;&gt;0),"Error: PDs should not be defined when defining as duration effort %.","")))))</f>
        <v/>
      </c>
    </row>
    <row r="89" hidden="1" outlineLevel="2" ht="43.5" customHeight="1" s="232">
      <c r="A89" s="94" t="inlineStr">
        <is>
          <t>A</t>
        </is>
      </c>
      <c r="B89" s="21" t="n"/>
      <c r="C89" s="85" t="n"/>
      <c r="D89" s="85" t="n"/>
      <c r="E89" s="85" t="n"/>
      <c r="F89" s="86" t="n"/>
      <c r="G89" s="22" t="inlineStr">
        <is>
          <t>-</t>
        </is>
      </c>
      <c r="H89" s="22" t="inlineStr">
        <is>
          <t>-</t>
        </is>
      </c>
      <c r="I89" s="23" t="inlineStr">
        <is>
          <t>-</t>
        </is>
      </c>
      <c r="J89" s="22" t="inlineStr">
        <is>
          <t>-</t>
        </is>
      </c>
      <c r="K89" s="38" t="n"/>
      <c r="L89" s="22" t="n"/>
      <c r="M89" s="286">
        <f>IFERROR(OFFSET(M89,-1,,1,1)+0.1,OFFSET(M89,-1,-1,1,1)&amp;".1")</f>
        <v/>
      </c>
      <c r="N89" s="23" t="inlineStr">
        <is>
          <t>Integration adaptor framework</t>
        </is>
      </c>
      <c r="O89" s="23" t="n"/>
      <c r="P89" s="23" t="n"/>
      <c r="Q89" s="144" t="n"/>
      <c r="R89" s="137" t="n"/>
      <c r="S89" s="169">
        <f>CEILING((IF(J89="Yes", 0, IF(H89="-",AA89,AA89+AA89*VLOOKUP(H89,BUFFERS_BY_TYPE,2,FALSE)))) +
(IF(J89="Yes", 0, IF(H89="-",AA89,AA89+AA89*VLOOKUP(H89,BUFFERS_BY_TYPE,2,FALSE))))*VLOOKUP($S$5, SALES_CALL_SCALE_ARRAY, 2,FALSE),0.25)</f>
        <v/>
      </c>
      <c r="T89" s="170" t="n"/>
      <c r="U89" s="24" t="n">
        <v>0</v>
      </c>
      <c r="V89" s="24" t="n">
        <v>1</v>
      </c>
      <c r="W89" s="24" t="n">
        <v>0</v>
      </c>
      <c r="X89" s="168" t="n"/>
      <c r="Y89" s="169">
        <f>CEILING((IF(P89=AS_DEV_EFFORT, DEV_EFFORT*Q89%,
IF(P89=AS_DURATION_EFFORT, (MANUAL_DURATION*5)*Q89%,
(IF(Q89&lt;=1,X89,
IF(SUM(U89:W89)=0,(Q89*X89),
(((Q89*U89)*(X89+(X89*EXTRA_FOR_H)))+
((Q89*V89)*X89)+
((Q89*W89)*(X89-(X89*LESS_FOR_L)))
)*IF(R89=0,1,R89))))))+Z89), 0.25)</f>
        <v/>
      </c>
      <c r="Z89" s="25" t="n"/>
      <c r="AA89" s="169">
        <f>Y89+Y89*VLOOKUP(I89,EXTRAS_ARRAY,2,FALSE)</f>
        <v/>
      </c>
      <c r="AB89" s="23" t="n"/>
      <c r="AC89" s="37" t="n"/>
      <c r="AD89" s="26">
        <f>IF(J89&lt;&gt;"Yes",
IF(S89&lt;=0,"Error: Effort value is not defined or is invalid.",
IF(AND(SUM(U89:W89)&gt;0,SUM(U89:W89)&lt;&gt;1),"Error: Complexity % distribution should sum to 100%.",
IF(AND(P89=AS_DEV_EFFORT,X89&lt;&gt;0),"Error: PDs should not be defined when defining as dev effort %.",
IF(AND(P89=AS_DURATION_EFFORT,X89&lt;&gt;0),"Error: PDs should not be defined when defining as duration effort %.","")))))</f>
        <v/>
      </c>
    </row>
    <row r="90" hidden="1" outlineLevel="2" ht="43.5" customHeight="1" s="232">
      <c r="A90" s="94" t="inlineStr">
        <is>
          <t>A</t>
        </is>
      </c>
      <c r="B90" s="21" t="n"/>
      <c r="C90" s="85" t="n"/>
      <c r="D90" s="85" t="n"/>
      <c r="E90" s="85" t="n"/>
      <c r="F90" s="86" t="n"/>
      <c r="G90" s="22" t="inlineStr">
        <is>
          <t>-</t>
        </is>
      </c>
      <c r="H90" s="22" t="inlineStr">
        <is>
          <t>-</t>
        </is>
      </c>
      <c r="I90" s="23" t="inlineStr">
        <is>
          <t>-</t>
        </is>
      </c>
      <c r="J90" s="22" t="inlineStr">
        <is>
          <t>-</t>
        </is>
      </c>
      <c r="K90" s="38" t="n"/>
      <c r="L90" s="22" t="n"/>
      <c r="M90" s="286">
        <f>IFERROR(OFFSET(M90,-1,,1,1)+0.1,OFFSET(M90,-1,-1,1,1)&amp;".1")</f>
        <v/>
      </c>
      <c r="N90" s="23" t="inlineStr">
        <is>
          <t>Schedular service</t>
        </is>
      </c>
      <c r="O90" s="23" t="n"/>
      <c r="P90" s="23" t="n"/>
      <c r="Q90" s="144" t="n"/>
      <c r="R90" s="137" t="n"/>
      <c r="S90" s="169">
        <f>CEILING((IF(J90="Yes", 0, IF(H90="-",AA90,AA90+AA90*VLOOKUP(H90,BUFFERS_BY_TYPE,2,FALSE)))) +
(IF(J90="Yes", 0, IF(H90="-",AA90,AA90+AA90*VLOOKUP(H90,BUFFERS_BY_TYPE,2,FALSE))))*VLOOKUP($S$5, SALES_CALL_SCALE_ARRAY, 2,FALSE),0.25)</f>
        <v/>
      </c>
      <c r="T90" s="170" t="n"/>
      <c r="U90" s="24" t="n">
        <v>0</v>
      </c>
      <c r="V90" s="24" t="n">
        <v>1</v>
      </c>
      <c r="W90" s="24" t="n">
        <v>0</v>
      </c>
      <c r="X90" s="168" t="n"/>
      <c r="Y90" s="169">
        <f>CEILING((IF(P90=AS_DEV_EFFORT, DEV_EFFORT*Q90%,
IF(P90=AS_DURATION_EFFORT, (MANUAL_DURATION*5)*Q90%,
(IF(Q90&lt;=1,X90,
IF(SUM(U90:W90)=0,(Q90*X90),
(((Q90*U90)*(X90+(X90*EXTRA_FOR_H)))+
((Q90*V90)*X90)+
((Q90*W90)*(X90-(X90*LESS_FOR_L)))
)*IF(R90=0,1,R90))))))+Z90), 0.25)</f>
        <v/>
      </c>
      <c r="Z90" s="25" t="n"/>
      <c r="AA90" s="169">
        <f>Y90+Y90*VLOOKUP(I90,EXTRAS_ARRAY,2,FALSE)</f>
        <v/>
      </c>
      <c r="AB90" s="23" t="n"/>
      <c r="AC90" s="37" t="n"/>
      <c r="AD90" s="26">
        <f>IF(J90&lt;&gt;"Yes",
IF(S90&lt;=0,"Error: Effort value is not defined or is invalid.",
IF(AND(SUM(U90:W90)&gt;0,SUM(U90:W90)&lt;&gt;1),"Error: Complexity % distribution should sum to 100%.",
IF(AND(P90=AS_DEV_EFFORT,X90&lt;&gt;0),"Error: PDs should not be defined when defining as dev effort %.",
IF(AND(P90=AS_DURATION_EFFORT,X90&lt;&gt;0),"Error: PDs should not be defined when defining as duration effort %.","")))))</f>
        <v/>
      </c>
    </row>
    <row r="91" hidden="1" outlineLevel="2" ht="43.5" customHeight="1" s="232">
      <c r="A91" s="94" t="inlineStr">
        <is>
          <t>A</t>
        </is>
      </c>
      <c r="B91" s="21" t="n"/>
      <c r="C91" s="85" t="n"/>
      <c r="D91" s="85" t="n"/>
      <c r="E91" s="85" t="n"/>
      <c r="F91" s="86" t="n"/>
      <c r="G91" s="22" t="inlineStr">
        <is>
          <t>-</t>
        </is>
      </c>
      <c r="H91" s="22" t="inlineStr">
        <is>
          <t>-</t>
        </is>
      </c>
      <c r="I91" s="23" t="inlineStr">
        <is>
          <t>-</t>
        </is>
      </c>
      <c r="J91" s="22" t="inlineStr">
        <is>
          <t>-</t>
        </is>
      </c>
      <c r="K91" s="38" t="n"/>
      <c r="L91" s="22" t="n"/>
      <c r="M91" s="286">
        <f>IFERROR(OFFSET(M91,-1,,1,1)+0.1,OFFSET(M91,-1,-1,1,1)&amp;".1")</f>
        <v/>
      </c>
      <c r="N91" s="23" t="inlineStr">
        <is>
          <t>UI Navigation framework</t>
        </is>
      </c>
      <c r="O91" s="23" t="n"/>
      <c r="P91" s="23" t="n"/>
      <c r="Q91" s="144" t="n"/>
      <c r="R91" s="137" t="n"/>
      <c r="S91" s="169">
        <f>CEILING((IF(J91="Yes", 0, IF(H91="-",AA91,AA91+AA91*VLOOKUP(H91,BUFFERS_BY_TYPE,2,FALSE)))) +
(IF(J91="Yes", 0, IF(H91="-",AA91,AA91+AA91*VLOOKUP(H91,BUFFERS_BY_TYPE,2,FALSE))))*VLOOKUP($S$5, SALES_CALL_SCALE_ARRAY, 2,FALSE),0.25)</f>
        <v/>
      </c>
      <c r="T91" s="170" t="n"/>
      <c r="U91" s="24" t="n">
        <v>0</v>
      </c>
      <c r="V91" s="24" t="n">
        <v>1</v>
      </c>
      <c r="W91" s="24" t="n">
        <v>0</v>
      </c>
      <c r="X91" s="168" t="n"/>
      <c r="Y91" s="169">
        <f>CEILING((IF(P91=AS_DEV_EFFORT, DEV_EFFORT*Q91%,
IF(P91=AS_DURATION_EFFORT, (MANUAL_DURATION*5)*Q91%,
(IF(Q91&lt;=1,X91,
IF(SUM(U91:W91)=0,(Q91*X91),
(((Q91*U91)*(X91+(X91*EXTRA_FOR_H)))+
((Q91*V91)*X91)+
((Q91*W91)*(X91-(X91*LESS_FOR_L)))
)*IF(R91=0,1,R91))))))+Z91), 0.25)</f>
        <v/>
      </c>
      <c r="Z91" s="25" t="n"/>
      <c r="AA91" s="169">
        <f>Y91+Y91*VLOOKUP(I91,EXTRAS_ARRAY,2,FALSE)</f>
        <v/>
      </c>
      <c r="AB91" s="23" t="n"/>
      <c r="AC91" s="37" t="n"/>
      <c r="AD91" s="26">
        <f>IF(J91&lt;&gt;"Yes",
IF(S91&lt;=0,"Error: Effort value is not defined or is invalid.",
IF(AND(SUM(U91:W91)&gt;0,SUM(U91:W91)&lt;&gt;1),"Error: Complexity % distribution should sum to 100%.",
IF(AND(P91=AS_DEV_EFFORT,X91&lt;&gt;0),"Error: PDs should not be defined when defining as dev effort %.",
IF(AND(P91=AS_DURATION_EFFORT,X91&lt;&gt;0),"Error: PDs should not be defined when defining as duration effort %.","")))))</f>
        <v/>
      </c>
    </row>
    <row r="92" hidden="1" outlineLevel="2" ht="43.5" customHeight="1" s="232">
      <c r="A92" s="94" t="inlineStr">
        <is>
          <t>A</t>
        </is>
      </c>
      <c r="B92" s="21" t="n"/>
      <c r="C92" s="85" t="n"/>
      <c r="D92" s="85" t="n"/>
      <c r="E92" s="85" t="n"/>
      <c r="F92" s="86" t="n"/>
      <c r="G92" s="22" t="inlineStr">
        <is>
          <t>-</t>
        </is>
      </c>
      <c r="H92" s="22" t="inlineStr">
        <is>
          <t>-</t>
        </is>
      </c>
      <c r="I92" s="23" t="inlineStr">
        <is>
          <t>-</t>
        </is>
      </c>
      <c r="J92" s="22" t="inlineStr">
        <is>
          <t>-</t>
        </is>
      </c>
      <c r="K92" s="38" t="n"/>
      <c r="L92" s="22" t="n"/>
      <c r="M92" s="286">
        <f>IFERROR(OFFSET(M92,-1,,1,1)+0.1,OFFSET(M92,-1,-1,1,1)&amp;".1")</f>
        <v/>
      </c>
      <c r="N92" s="23" t="inlineStr">
        <is>
          <t>Workflow management framework</t>
        </is>
      </c>
      <c r="O92" s="23" t="n"/>
      <c r="P92" s="23" t="n"/>
      <c r="Q92" s="144" t="n"/>
      <c r="R92" s="137" t="n"/>
      <c r="S92" s="169">
        <f>CEILING((IF(J92="Yes", 0, IF(H92="-",AA92,AA92+AA92*VLOOKUP(H92,BUFFERS_BY_TYPE,2,FALSE)))) +
(IF(J92="Yes", 0, IF(H92="-",AA92,AA92+AA92*VLOOKUP(H92,BUFFERS_BY_TYPE,2,FALSE))))*VLOOKUP($S$5, SALES_CALL_SCALE_ARRAY, 2,FALSE),0.25)</f>
        <v/>
      </c>
      <c r="T92" s="170" t="n"/>
      <c r="U92" s="24" t="n">
        <v>0</v>
      </c>
      <c r="V92" s="24" t="n">
        <v>1</v>
      </c>
      <c r="W92" s="24" t="n">
        <v>0</v>
      </c>
      <c r="X92" s="168" t="n"/>
      <c r="Y92" s="169">
        <f>CEILING((IF(P92=AS_DEV_EFFORT, DEV_EFFORT*Q92%,
IF(P92=AS_DURATION_EFFORT, (MANUAL_DURATION*5)*Q92%,
(IF(Q92&lt;=1,X92,
IF(SUM(U92:W92)=0,(Q92*X92),
(((Q92*U92)*(X92+(X92*EXTRA_FOR_H)))+
((Q92*V92)*X92)+
((Q92*W92)*(X92-(X92*LESS_FOR_L)))
)*IF(R92=0,1,R92))))))+Z92), 0.25)</f>
        <v/>
      </c>
      <c r="Z92" s="25" t="n"/>
      <c r="AA92" s="169">
        <f>Y92+Y92*VLOOKUP(I92,EXTRAS_ARRAY,2,FALSE)</f>
        <v/>
      </c>
      <c r="AB92" s="23" t="n"/>
      <c r="AC92" s="37" t="n"/>
      <c r="AD92" s="26">
        <f>IF(J92&lt;&gt;"Yes",
IF(S92&lt;=0,"Error: Effort value is not defined or is invalid.",
IF(AND(SUM(U92:W92)&gt;0,SUM(U92:W92)&lt;&gt;1),"Error: Complexity % distribution should sum to 100%.",
IF(AND(P92=AS_DEV_EFFORT,X92&lt;&gt;0),"Error: PDs should not be defined when defining as dev effort %.",
IF(AND(P92=AS_DURATION_EFFORT,X92&lt;&gt;0),"Error: PDs should not be defined when defining as duration effort %.","")))))</f>
        <v/>
      </c>
    </row>
    <row r="93" hidden="1" outlineLevel="2" ht="7.5" customFormat="1" customHeight="1" s="11">
      <c r="A93" s="94" t="inlineStr">
        <is>
          <t>T3</t>
        </is>
      </c>
      <c r="B93" s="18" t="n"/>
      <c r="C93" s="78" t="n"/>
      <c r="D93" s="78" t="n"/>
      <c r="E93" s="78" t="n"/>
      <c r="F93" s="78" t="n"/>
      <c r="G93" s="11" t="n"/>
      <c r="H93" s="11" t="n"/>
      <c r="I93" s="11" t="n"/>
      <c r="J93" s="11" t="n"/>
      <c r="K93" s="11" t="n"/>
      <c r="L93" s="11" t="n"/>
      <c r="M93" s="287" t="n"/>
      <c r="N93" s="11" t="n"/>
      <c r="O93" s="11" t="n"/>
      <c r="P93" s="11" t="n"/>
      <c r="Q93" s="11" t="n"/>
      <c r="R93" s="11" t="n"/>
      <c r="S93" s="11" t="n"/>
      <c r="T93" s="18" t="n"/>
      <c r="U93" s="11" t="n"/>
      <c r="V93" s="11" t="n"/>
      <c r="W93" s="11" t="n"/>
      <c r="X93" s="18" t="n"/>
      <c r="Y93" s="11" t="n"/>
      <c r="Z93" s="11" t="n"/>
      <c r="AA93" s="11" t="n"/>
      <c r="AB93" s="60" t="n"/>
      <c r="AC93" s="60" t="n"/>
      <c r="AD93" s="60" t="n"/>
    </row>
    <row r="94" hidden="1" outlineLevel="1" ht="3" customFormat="1" customHeight="1" s="11">
      <c r="A94" s="94" t="inlineStr">
        <is>
          <t>S3</t>
        </is>
      </c>
      <c r="B94" s="11" t="n"/>
      <c r="C94" s="78" t="n"/>
      <c r="D94" s="78" t="n"/>
      <c r="E94" s="78" t="n"/>
      <c r="F94" s="78" t="n"/>
      <c r="G94" s="241" t="n"/>
      <c r="H94" s="241" t="n"/>
      <c r="I94" s="241" t="n"/>
      <c r="J94" s="241" t="n"/>
      <c r="K94" s="241" t="n"/>
      <c r="L94" s="61" t="n"/>
      <c r="M94" s="288" t="n"/>
      <c r="N94" s="62" t="n"/>
      <c r="O94" s="62" t="n"/>
      <c r="P94" s="61" t="n"/>
      <c r="Q94" s="61" t="n"/>
      <c r="R94" s="61" t="n"/>
      <c r="S94" s="61" t="n"/>
      <c r="T94" s="61" t="n"/>
      <c r="U94" s="61" t="n"/>
      <c r="V94" s="61" t="n"/>
      <c r="W94" s="61" t="n"/>
      <c r="X94" s="61" t="n"/>
      <c r="Y94" s="61" t="n"/>
      <c r="Z94" s="61" t="n"/>
      <c r="AA94" s="61" t="n"/>
      <c r="AB94" s="62" t="n"/>
      <c r="AC94" s="62" t="n"/>
      <c r="AD94" s="60" t="n"/>
    </row>
    <row r="95" collapsed="1" ht="18.5" customFormat="1" customHeight="1" s="17">
      <c r="A95" s="94" t="inlineStr">
        <is>
          <t>S1</t>
        </is>
      </c>
      <c r="B95" s="15" t="n"/>
      <c r="C95" s="79" t="n"/>
      <c r="D95" s="79" t="n"/>
      <c r="E95" s="79" t="n"/>
      <c r="F95" s="78" t="n"/>
      <c r="G95" s="55" t="n"/>
      <c r="H95" s="55" t="n"/>
      <c r="I95" s="55" t="n"/>
      <c r="J95" s="55" t="n"/>
      <c r="K95" s="55" t="n"/>
      <c r="L95" s="55" t="inlineStr">
        <is>
          <t>C</t>
        </is>
      </c>
      <c r="M95" s="284" t="inlineStr">
        <is>
          <t>Phase 3: Build (Frontend + Microservices + DevOps)</t>
        </is>
      </c>
      <c r="N95" s="56" t="n"/>
      <c r="O95" s="57" t="n"/>
      <c r="P95" s="58" t="n"/>
      <c r="Q95" s="58" t="n"/>
      <c r="R95" s="58" t="n"/>
      <c r="S95" s="351">
        <f>CEILING(SUMIF(J96:J134, "&lt;&gt;Yes", T96:T134),1)</f>
        <v/>
      </c>
      <c r="U95" s="58" t="n"/>
      <c r="V95" s="58" t="n"/>
      <c r="W95" s="58" t="n"/>
      <c r="X95" s="353" t="n"/>
      <c r="Y95" s="353" t="n"/>
      <c r="Z95" s="58" t="n"/>
      <c r="AA95" s="353" t="n"/>
      <c r="AB95" s="58" t="n"/>
      <c r="AC95" s="58" t="n"/>
      <c r="AD95" s="16" t="n"/>
    </row>
    <row r="96" hidden="1" outlineLevel="1" ht="3" customFormat="1" customHeight="1" s="11">
      <c r="A96" s="94" t="inlineStr">
        <is>
          <t>S2</t>
        </is>
      </c>
      <c r="B96" s="18" t="n"/>
      <c r="C96" s="78" t="n"/>
      <c r="D96" s="78" t="n"/>
      <c r="E96" s="78" t="n"/>
      <c r="F96" s="78" t="n"/>
      <c r="G96" s="241" t="n"/>
      <c r="H96" s="241" t="n"/>
      <c r="I96" s="241" t="n"/>
      <c r="J96" s="241" t="n"/>
      <c r="K96" s="241" t="n"/>
      <c r="L96" s="29" t="n">
        <v>0</v>
      </c>
      <c r="M96" s="285" t="n"/>
      <c r="N96" s="241" t="n"/>
      <c r="O96" s="241" t="n"/>
      <c r="P96" s="241" t="n"/>
      <c r="Q96" s="241" t="n"/>
      <c r="R96" s="241" t="n"/>
      <c r="S96" s="241" t="n"/>
      <c r="T96" s="30" t="n"/>
      <c r="U96" s="241" t="n"/>
      <c r="V96" s="241" t="n"/>
      <c r="W96" s="241" t="n"/>
      <c r="X96" s="30" t="n"/>
      <c r="Y96" s="241" t="n"/>
      <c r="Z96" s="241" t="n"/>
      <c r="AA96" s="241" t="n"/>
      <c r="AB96" s="103" t="n"/>
      <c r="AC96" s="103" t="n"/>
      <c r="AD96" s="60" t="n"/>
    </row>
    <row r="97" hidden="1" outlineLevel="1" collapsed="1" ht="15.5" customFormat="1" customHeight="1" s="17">
      <c r="A97" s="94" t="inlineStr">
        <is>
          <t>T1</t>
        </is>
      </c>
      <c r="B97" s="21" t="n"/>
      <c r="C97" s="84" t="n"/>
      <c r="D97" s="84" t="n"/>
      <c r="E97" s="84" t="n"/>
      <c r="F97" s="83" t="n"/>
      <c r="G97" s="32" t="n"/>
      <c r="H97" s="32" t="n"/>
      <c r="I97" s="32" t="n"/>
      <c r="J97" s="32" t="n"/>
      <c r="K97" s="32" t="n"/>
      <c r="L97" s="20">
        <f>LOOKUP(1000,INDIRECT("L1:"&amp;CELL("address",INDIRECT("R[-1]C",FALSE))))+1</f>
        <v/>
      </c>
      <c r="M97" s="301" t="inlineStr">
        <is>
          <t>Environment setup &amp; team ramp-up (AWS + EKS)</t>
        </is>
      </c>
      <c r="N97" s="352" t="n"/>
      <c r="O97" s="5" t="n"/>
      <c r="P97" s="33" t="n"/>
      <c r="Q97" s="33" t="n"/>
      <c r="R97" s="33" t="n"/>
      <c r="S97" s="33" t="n"/>
      <c r="T97" s="167">
        <f>IF($S$6="Exclude", SUMIFS(S98:S103, J98:J103, "&lt;&gt;Yes", G98:G103, "&lt;&gt;Yes"), SUMIFS(S98:S103, J98:J103, "&lt;&gt;Yes"))</f>
        <v/>
      </c>
      <c r="U97" s="33" t="n"/>
      <c r="V97" s="33" t="n"/>
      <c r="W97" s="33" t="n"/>
      <c r="X97" s="34" t="n"/>
      <c r="Y97" s="35" t="n"/>
      <c r="Z97" s="35" t="n"/>
      <c r="AA97" s="35" t="n"/>
      <c r="AB97" s="240" t="n"/>
      <c r="AC97" s="36" t="n"/>
      <c r="AD97" s="26">
        <f>IF(M97="", "Error: Task name cannot be empty.", "")</f>
        <v/>
      </c>
    </row>
    <row r="98" hidden="1" outlineLevel="2" ht="1.5" customFormat="1" customHeight="1" s="15">
      <c r="A98" s="94" t="inlineStr">
        <is>
          <t>T2</t>
        </is>
      </c>
      <c r="B98" s="21" t="n"/>
      <c r="C98" s="84" t="n"/>
      <c r="D98" s="84" t="n"/>
      <c r="E98" s="84" t="n"/>
      <c r="F98" s="83" t="n"/>
      <c r="G98" s="32" t="n"/>
      <c r="H98" s="32" t="n"/>
      <c r="I98" s="32" t="n"/>
      <c r="J98" s="32" t="n"/>
      <c r="K98" s="32" t="n"/>
      <c r="L98" s="175">
        <f>L97</f>
        <v/>
      </c>
      <c r="M98" s="176" t="inlineStr">
        <is>
          <t>X</t>
        </is>
      </c>
      <c r="N98" s="173" t="n"/>
      <c r="O98" s="174" t="n"/>
      <c r="P98" s="33" t="n"/>
      <c r="Q98" s="33" t="n"/>
      <c r="R98" s="33" t="n"/>
      <c r="S98" s="33" t="n"/>
      <c r="T98" s="167" t="n"/>
      <c r="U98" s="33" t="n"/>
      <c r="V98" s="33" t="n"/>
      <c r="W98" s="33" t="n"/>
      <c r="X98" s="34" t="n"/>
      <c r="Y98" s="35" t="n"/>
      <c r="Z98" s="35" t="n"/>
      <c r="AA98" s="35" t="n"/>
      <c r="AB98" s="36" t="n"/>
      <c r="AC98" s="36" t="n"/>
      <c r="AD98" s="26" t="n"/>
    </row>
    <row r="99" hidden="1" outlineLevel="2" ht="43.5" customHeight="1" s="232">
      <c r="A99" s="94" t="inlineStr">
        <is>
          <t>A</t>
        </is>
      </c>
      <c r="B99" s="21" t="n"/>
      <c r="C99" s="85" t="n"/>
      <c r="D99" s="85" t="n"/>
      <c r="E99" s="85" t="n"/>
      <c r="F99" s="86" t="n"/>
      <c r="G99" s="22" t="inlineStr">
        <is>
          <t>-</t>
        </is>
      </c>
      <c r="H99" s="22" t="inlineStr">
        <is>
          <t>-</t>
        </is>
      </c>
      <c r="I99" s="23" t="inlineStr">
        <is>
          <t>-</t>
        </is>
      </c>
      <c r="J99" s="22" t="inlineStr">
        <is>
          <t>-</t>
        </is>
      </c>
      <c r="K99" s="38" t="n"/>
      <c r="L99" s="22" t="n"/>
      <c r="M99" s="286">
        <f>IFERROR(OFFSET(M99,-1,,1,1)+0.1,OFFSET(M99,-1,-1,1,1)&amp;".1")</f>
        <v/>
      </c>
      <c r="N99" s="23" t="inlineStr">
        <is>
          <t>SRS knowledge transfer to team members</t>
        </is>
      </c>
      <c r="O99" s="23" t="n"/>
      <c r="P99" s="23" t="n"/>
      <c r="Q99" s="144" t="n"/>
      <c r="R99" s="137" t="n"/>
      <c r="S99" s="169">
        <f>CEILING((IF(J99="Yes", 0, IF(H99="-",AA99,AA99+AA99*VLOOKUP(H99,BUFFERS_BY_TYPE,2,FALSE)))) +
   (IF(J99="Yes", 0, IF(H99="-",AA99,AA99+AA99*VLOOKUP(H99,BUFFERS_BY_TYPE,2,FALSE))))*VLOOKUP($S$5, SALES_CALL_SCALE_ARRAY, 2,FALSE),0.25)</f>
        <v/>
      </c>
      <c r="T99" s="170" t="n"/>
      <c r="U99" s="24" t="n">
        <v>0</v>
      </c>
      <c r="V99" s="24" t="n">
        <v>1</v>
      </c>
      <c r="W99" s="24" t="n">
        <v>0</v>
      </c>
      <c r="X99" s="168" t="n"/>
      <c r="Y99" s="169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/>
      </c>
      <c r="Z99" s="25" t="n"/>
      <c r="AA99" s="169">
        <f>Y99+Y99*VLOOKUP(I99,EXTRAS_ARRAY,2,FALSE)</f>
        <v/>
      </c>
      <c r="AB99" s="23" t="n"/>
      <c r="AC99" s="37" t="n"/>
      <c r="AD99" s="26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hidden="1" outlineLevel="2" ht="43.5" customHeight="1" s="232">
      <c r="A100" s="94" t="inlineStr">
        <is>
          <t>A</t>
        </is>
      </c>
      <c r="B100" s="21" t="n"/>
      <c r="C100" s="85" t="n"/>
      <c r="D100" s="85" t="n"/>
      <c r="E100" s="85" t="n"/>
      <c r="F100" s="86" t="n"/>
      <c r="G100" s="22" t="inlineStr">
        <is>
          <t>-</t>
        </is>
      </c>
      <c r="H100" s="22" t="inlineStr">
        <is>
          <t>-</t>
        </is>
      </c>
      <c r="I100" s="23" t="inlineStr">
        <is>
          <t>-</t>
        </is>
      </c>
      <c r="J100" s="22" t="inlineStr">
        <is>
          <t>-</t>
        </is>
      </c>
      <c r="K100" s="38" t="n"/>
      <c r="L100" s="22" t="n"/>
      <c r="M100" s="286">
        <f>IFERROR(OFFSET(M100,-1,,1,1)+0.1,OFFSET(M100,-1,-1,1,1)&amp;".1")</f>
        <v/>
      </c>
      <c r="N100" s="23" t="inlineStr">
        <is>
          <t>Design knowledge transfer to team members</t>
        </is>
      </c>
      <c r="O100" s="23" t="n"/>
      <c r="P100" s="23" t="n"/>
      <c r="Q100" s="144" t="n"/>
      <c r="R100" s="137" t="n"/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/>
      </c>
      <c r="T100" s="170" t="n"/>
      <c r="U100" s="24" t="n">
        <v>0</v>
      </c>
      <c r="V100" s="24" t="n">
        <v>1</v>
      </c>
      <c r="W100" s="24" t="n">
        <v>0</v>
      </c>
      <c r="X100" s="168" t="n"/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/>
      </c>
      <c r="Z100" s="25" t="n"/>
      <c r="AA100" s="169">
        <f>Y100+Y100*VLOOKUP(I100,EXTRAS_ARRAY,2,FALSE)</f>
        <v/>
      </c>
      <c r="AB100" s="23" t="n"/>
      <c r="AC100" s="37" t="n"/>
      <c r="AD100" s="26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hidden="1" outlineLevel="2" ht="43.5" customHeight="1" s="232">
      <c r="A101" s="94" t="inlineStr">
        <is>
          <t>A</t>
        </is>
      </c>
      <c r="B101" s="21" t="n"/>
      <c r="C101" s="85" t="n"/>
      <c r="D101" s="85" t="n"/>
      <c r="E101" s="85" t="n"/>
      <c r="F101" s="86" t="n"/>
      <c r="G101" s="22" t="inlineStr">
        <is>
          <t>-</t>
        </is>
      </c>
      <c r="H101" s="22" t="inlineStr">
        <is>
          <t>-</t>
        </is>
      </c>
      <c r="I101" s="23" t="inlineStr">
        <is>
          <t>-</t>
        </is>
      </c>
      <c r="J101" s="22" t="inlineStr">
        <is>
          <t>-</t>
        </is>
      </c>
      <c r="K101" s="38" t="n"/>
      <c r="L101" s="22" t="n"/>
      <c r="M101" s="286">
        <f>IFERROR(OFFSET(M101,-1,,1,1)+0.1,OFFSET(M101,-1,-1,1,1)&amp;".1")</f>
        <v/>
      </c>
      <c r="N101" s="23" t="inlineStr">
        <is>
          <t>Application framework knowledge transfer to team members</t>
        </is>
      </c>
      <c r="O101" s="23" t="n"/>
      <c r="P101" s="23" t="n"/>
      <c r="Q101" s="144" t="n"/>
      <c r="R101" s="137" t="n"/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/>
      </c>
      <c r="T101" s="170" t="n"/>
      <c r="U101" s="24" t="n">
        <v>0</v>
      </c>
      <c r="V101" s="24" t="n">
        <v>1</v>
      </c>
      <c r="W101" s="24" t="n">
        <v>0</v>
      </c>
      <c r="X101" s="168" t="n"/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/>
      </c>
      <c r="Z101" s="25" t="n"/>
      <c r="AA101" s="169">
        <f>Y101+Y101*VLOOKUP(I101,EXTRAS_ARRAY,2,FALSE)</f>
        <v/>
      </c>
      <c r="AB101" s="23" t="n"/>
      <c r="AC101" s="37" t="n"/>
      <c r="AD101" s="26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hidden="1" outlineLevel="2" ht="43.5" customHeight="1" s="232">
      <c r="A102" s="94" t="inlineStr">
        <is>
          <t>A</t>
        </is>
      </c>
      <c r="B102" s="21" t="n"/>
      <c r="C102" s="85" t="n"/>
      <c r="D102" s="85" t="n"/>
      <c r="E102" s="85" t="n"/>
      <c r="F102" s="86" t="n"/>
      <c r="G102" s="22" t="inlineStr">
        <is>
          <t>-</t>
        </is>
      </c>
      <c r="H102" s="22" t="inlineStr">
        <is>
          <t>-</t>
        </is>
      </c>
      <c r="I102" s="23" t="inlineStr">
        <is>
          <t>-</t>
        </is>
      </c>
      <c r="J102" s="22" t="inlineStr">
        <is>
          <t>-</t>
        </is>
      </c>
      <c r="K102" s="38" t="n"/>
      <c r="L102" s="22" t="n"/>
      <c r="M102" s="286">
        <f>IFERROR(OFFSET(M102,-1,,1,1)+0.1,OFFSET(M102,-1,-1,1,1)&amp;".1")</f>
        <v/>
      </c>
      <c r="N102" s="23" t="inlineStr">
        <is>
          <t>Development environment setup</t>
        </is>
      </c>
      <c r="O102" s="23" t="n"/>
      <c r="P102" s="23" t="n"/>
      <c r="Q102" s="144" t="n"/>
      <c r="R102" s="137" t="n"/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/>
      </c>
      <c r="T102" s="170" t="n"/>
      <c r="U102" s="24" t="n">
        <v>0</v>
      </c>
      <c r="V102" s="24" t="n">
        <v>1</v>
      </c>
      <c r="W102" s="24" t="n">
        <v>0</v>
      </c>
      <c r="X102" s="168" t="n"/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/>
      </c>
      <c r="Z102" s="25" t="n"/>
      <c r="AA102" s="169">
        <f>Y102+Y102*VLOOKUP(I102,EXTRAS_ARRAY,2,FALSE)</f>
        <v/>
      </c>
      <c r="AB102" s="23" t="n"/>
      <c r="AC102" s="37" t="n"/>
      <c r="AD102" s="26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hidden="1" outlineLevel="2" ht="7.5" customFormat="1" customHeight="1" s="11">
      <c r="A103" s="94" t="inlineStr">
        <is>
          <t>T3</t>
        </is>
      </c>
      <c r="B103" s="18" t="n"/>
      <c r="C103" s="78" t="n"/>
      <c r="D103" s="78" t="n"/>
      <c r="E103" s="78" t="n"/>
      <c r="F103" s="78" t="n"/>
      <c r="G103" s="11" t="n"/>
      <c r="H103" s="11" t="n"/>
      <c r="I103" s="11" t="n"/>
      <c r="J103" s="11" t="n"/>
      <c r="K103" s="11" t="n"/>
      <c r="L103" s="11" t="n"/>
      <c r="M103" s="287" t="n"/>
      <c r="N103" s="11" t="n"/>
      <c r="O103" s="11" t="n"/>
      <c r="P103" s="11" t="n"/>
      <c r="Q103" s="11" t="n"/>
      <c r="R103" s="11" t="n"/>
      <c r="S103" s="11" t="n"/>
      <c r="T103" s="18" t="n"/>
      <c r="U103" s="11" t="n"/>
      <c r="V103" s="11" t="n"/>
      <c r="W103" s="11" t="n"/>
      <c r="X103" s="18" t="n"/>
      <c r="Y103" s="11" t="n"/>
      <c r="Z103" s="11" t="n"/>
      <c r="AA103" s="11" t="n"/>
      <c r="AB103" s="60" t="n"/>
      <c r="AC103" s="60" t="n"/>
      <c r="AD103" s="60" t="n"/>
    </row>
    <row r="104" hidden="1" outlineLevel="1" collapsed="1" ht="15.5" customFormat="1" customHeight="1" s="17">
      <c r="A104" s="94" t="inlineStr">
        <is>
          <t>T1</t>
        </is>
      </c>
      <c r="B104" s="21" t="n"/>
      <c r="C104" s="84" t="n"/>
      <c r="D104" s="84" t="n"/>
      <c r="E104" s="84" t="n"/>
      <c r="F104" s="83" t="n"/>
      <c r="G104" s="32" t="n"/>
      <c r="H104" s="32" t="n"/>
      <c r="I104" s="32" t="n"/>
      <c r="J104" s="32" t="n"/>
      <c r="K104" s="32" t="n"/>
      <c r="L104" s="20">
        <f>LOOKUP(1000,INDIRECT("L1:"&amp;CELL("address",INDIRECT("R[-1]C",FALSE))))+1</f>
        <v/>
      </c>
      <c r="M104" s="301" t="inlineStr">
        <is>
          <t>Core platform &amp; shared services</t>
        </is>
      </c>
      <c r="N104" s="352" t="n"/>
      <c r="O104" s="5" t="n"/>
      <c r="P104" s="33" t="n"/>
      <c r="Q104" s="33" t="n"/>
      <c r="R104" s="33" t="n"/>
      <c r="S104" s="33" t="n"/>
      <c r="T104" s="167">
        <f>IF($S$6="Exclude", SUMIFS(S105:S111, J105:J111, "&lt;&gt;Yes", G105:G111, "&lt;&gt;Yes"), SUMIFS(S105:S111, J105:J111, "&lt;&gt;Yes"))</f>
        <v/>
      </c>
      <c r="U104" s="33" t="n"/>
      <c r="V104" s="33" t="n"/>
      <c r="W104" s="33" t="n"/>
      <c r="X104" s="34" t="n"/>
      <c r="Y104" s="35" t="n"/>
      <c r="Z104" s="35" t="n"/>
      <c r="AA104" s="35" t="n"/>
      <c r="AB104" s="240" t="n"/>
      <c r="AC104" s="36" t="n"/>
      <c r="AD104" s="26">
        <f>IF(M104="", "Error: Task name cannot be empty.", "")</f>
        <v/>
      </c>
    </row>
    <row r="105" hidden="1" outlineLevel="2" ht="1.5" customFormat="1" customHeight="1" s="15">
      <c r="A105" s="94" t="inlineStr">
        <is>
          <t>T2</t>
        </is>
      </c>
      <c r="B105" s="21" t="n"/>
      <c r="C105" s="84" t="n"/>
      <c r="D105" s="84" t="n"/>
      <c r="E105" s="84" t="n"/>
      <c r="F105" s="83" t="n"/>
      <c r="G105" s="32" t="n"/>
      <c r="H105" s="32" t="n"/>
      <c r="I105" s="32" t="n"/>
      <c r="J105" s="32" t="n"/>
      <c r="K105" s="32" t="n"/>
      <c r="L105" s="175">
        <f>L104</f>
        <v/>
      </c>
      <c r="M105" s="176" t="inlineStr">
        <is>
          <t>X</t>
        </is>
      </c>
      <c r="N105" s="173" t="n"/>
      <c r="O105" s="174" t="n"/>
      <c r="P105" s="33" t="n"/>
      <c r="Q105" s="33" t="n"/>
      <c r="R105" s="33" t="n"/>
      <c r="S105" s="33" t="n"/>
      <c r="T105" s="167" t="n"/>
      <c r="U105" s="33" t="n"/>
      <c r="V105" s="33" t="n"/>
      <c r="W105" s="33" t="n"/>
      <c r="X105" s="34" t="n"/>
      <c r="Y105" s="35" t="n"/>
      <c r="Z105" s="35" t="n"/>
      <c r="AA105" s="35" t="n"/>
      <c r="AB105" s="36" t="n"/>
      <c r="AC105" s="36" t="n"/>
      <c r="AD105" s="26" t="n"/>
    </row>
    <row r="106" hidden="1" outlineLevel="2" ht="43.5" customHeight="1" s="232">
      <c r="A106" s="94" t="inlineStr">
        <is>
          <t>A</t>
        </is>
      </c>
      <c r="B106" s="21" t="n"/>
      <c r="C106" s="85" t="n"/>
      <c r="D106" s="85" t="n"/>
      <c r="E106" s="85" t="n"/>
      <c r="F106" s="86" t="n"/>
      <c r="G106" s="22" t="inlineStr">
        <is>
          <t>-</t>
        </is>
      </c>
      <c r="H106" s="22" t="inlineStr">
        <is>
          <t>-</t>
        </is>
      </c>
      <c r="I106" s="23" t="inlineStr">
        <is>
          <t>-</t>
        </is>
      </c>
      <c r="J106" s="22" t="inlineStr">
        <is>
          <t>-</t>
        </is>
      </c>
      <c r="K106" s="38" t="n"/>
      <c r="L106" s="22" t="n"/>
      <c r="M106" s="286">
        <f>IFERROR(OFFSET(M106,-1,,1,1)+0.1,OFFSET(M106,-1,-1,1,1)&amp;".1")</f>
        <v/>
      </c>
      <c r="N106" s="23" t="inlineStr">
        <is>
          <t>Frontend SPA shell (React/Vite), routing, layout, API integration</t>
        </is>
      </c>
      <c r="O106" s="23" t="n"/>
      <c r="P106" s="23" t="n"/>
      <c r="Q106" s="144" t="n"/>
      <c r="R106" s="137" t="n"/>
      <c r="S106" s="169">
        <f>CEILING((IF(J106="Yes", 0, IF(H106="-",AA106,AA106+AA106*VLOOKUP(H106,BUFFERS_BY_TYPE,2,FALSE)))) +
   (IF(J106="Yes", 0, IF(H106="-",AA106,AA106+AA106*VLOOKUP(H106,BUFFERS_BY_TYPE,2,FALSE))))*VLOOKUP($S$5, SALES_CALL_SCALE_ARRAY, 2,FALSE),0.25)</f>
        <v/>
      </c>
      <c r="T106" s="170" t="n"/>
      <c r="U106" s="24" t="n">
        <v>0</v>
      </c>
      <c r="V106" s="24" t="n">
        <v>1</v>
      </c>
      <c r="W106" s="24" t="n">
        <v>0</v>
      </c>
      <c r="X106" s="168" t="n"/>
      <c r="Y106" s="169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/>
      </c>
      <c r="Z106" s="25" t="n"/>
      <c r="AA106" s="169">
        <f>Y106+Y106*VLOOKUP(I106,EXTRAS_ARRAY,2,FALSE)</f>
        <v/>
      </c>
      <c r="AB106" s="23" t="n"/>
      <c r="AC106" s="37" t="n"/>
      <c r="AD106" s="26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hidden="1" outlineLevel="2" ht="43.5" customHeight="1" s="232">
      <c r="A107" s="94" t="inlineStr">
        <is>
          <t>A</t>
        </is>
      </c>
      <c r="B107" s="21" t="n"/>
      <c r="C107" s="85" t="n"/>
      <c r="D107" s="85" t="n"/>
      <c r="E107" s="85" t="n"/>
      <c r="F107" s="86" t="n"/>
      <c r="G107" s="22" t="inlineStr">
        <is>
          <t>-</t>
        </is>
      </c>
      <c r="H107" s="22" t="inlineStr">
        <is>
          <t>-</t>
        </is>
      </c>
      <c r="I107" s="23" t="inlineStr">
        <is>
          <t>-</t>
        </is>
      </c>
      <c r="J107" s="22" t="inlineStr">
        <is>
          <t>-</t>
        </is>
      </c>
      <c r="K107" s="38" t="n"/>
      <c r="L107" s="22" t="n"/>
      <c r="M107" s="286">
        <f>IFERROR(OFFSET(M107,-1,,1,1)+0.1,OFFSET(M107,-1,-1,1,1)&amp;".1")</f>
        <v/>
      </c>
      <c r="N107" s="23" t="inlineStr">
        <is>
          <t>Authentication approach (Cognito-ready) and session handling (optional)</t>
        </is>
      </c>
      <c r="O107" s="23" t="n"/>
      <c r="P107" s="23" t="n"/>
      <c r="Q107" s="144" t="n"/>
      <c r="R107" s="137" t="n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/>
      </c>
      <c r="T107" s="170" t="n"/>
      <c r="U107" s="24" t="n">
        <v>0</v>
      </c>
      <c r="V107" s="24" t="n">
        <v>1</v>
      </c>
      <c r="W107" s="24" t="n">
        <v>0</v>
      </c>
      <c r="X107" s="168" t="n"/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/>
      </c>
      <c r="Z107" s="25" t="n"/>
      <c r="AA107" s="169">
        <f>Y107+Y107*VLOOKUP(I107,EXTRAS_ARRAY,2,FALSE)</f>
        <v/>
      </c>
      <c r="AB107" s="23" t="n"/>
      <c r="AC107" s="37" t="n"/>
      <c r="AD107" s="26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hidden="1" outlineLevel="2" ht="43.5" customHeight="1" s="232">
      <c r="A108" s="94" t="inlineStr">
        <is>
          <t>A</t>
        </is>
      </c>
      <c r="B108" s="21" t="n"/>
      <c r="C108" s="85" t="n"/>
      <c r="D108" s="85" t="n"/>
      <c r="E108" s="85" t="n"/>
      <c r="F108" s="86" t="n"/>
      <c r="G108" s="22" t="inlineStr">
        <is>
          <t>-</t>
        </is>
      </c>
      <c r="H108" s="22" t="inlineStr">
        <is>
          <t>-</t>
        </is>
      </c>
      <c r="I108" s="23" t="inlineStr">
        <is>
          <t>-</t>
        </is>
      </c>
      <c r="J108" s="22" t="inlineStr">
        <is>
          <t>-</t>
        </is>
      </c>
      <c r="K108" s="38" t="n"/>
      <c r="L108" s="22" t="n"/>
      <c r="M108" s="286">
        <f>IFERROR(OFFSET(M108,-1,,1,1)+0.1,OFFSET(M108,-1,-1,1,1)&amp;".1")</f>
        <v/>
      </c>
      <c r="N108" s="23" t="inlineStr">
        <is>
          <t>API patterns, validation, error handling, request logging</t>
        </is>
      </c>
      <c r="O108" s="23" t="n"/>
      <c r="P108" s="23" t="n"/>
      <c r="Q108" s="144" t="n"/>
      <c r="R108" s="137" t="n"/>
      <c r="S108" s="169">
        <f>CEILING((IF(J108="Yes", 0, IF(H108="-",AA108,AA108+AA108*VLOOKUP(H108,BUFFERS_BY_TYPE,2,FALSE)))) +
   (IF(J108="Yes", 0, IF(H108="-",AA108,AA108+AA108*VLOOKUP(H108,BUFFERS_BY_TYPE,2,FALSE))))*VLOOKUP($S$5, SALES_CALL_SCALE_ARRAY, 2,FALSE),0.25)</f>
        <v/>
      </c>
      <c r="T108" s="170" t="n"/>
      <c r="U108" s="24" t="n">
        <v>0</v>
      </c>
      <c r="V108" s="24" t="n">
        <v>1</v>
      </c>
      <c r="W108" s="24" t="n">
        <v>0</v>
      </c>
      <c r="X108" s="168" t="n"/>
      <c r="Y108" s="169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/>
      </c>
      <c r="Z108" s="25" t="n"/>
      <c r="AA108" s="169">
        <f>Y108+Y108*VLOOKUP(I108,EXTRAS_ARRAY,2,FALSE)</f>
        <v/>
      </c>
      <c r="AB108" s="23" t="n"/>
      <c r="AC108" s="37" t="n"/>
      <c r="AD108" s="26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hidden="1" outlineLevel="2" ht="43.5" customHeight="1" s="232">
      <c r="A109" s="94" t="inlineStr">
        <is>
          <t>A</t>
        </is>
      </c>
      <c r="B109" s="21" t="n"/>
      <c r="C109" s="85" t="n"/>
      <c r="D109" s="85" t="n"/>
      <c r="E109" s="85" t="n"/>
      <c r="F109" s="86" t="n"/>
      <c r="G109" s="22" t="inlineStr">
        <is>
          <t>-</t>
        </is>
      </c>
      <c r="H109" s="22" t="inlineStr">
        <is>
          <t>-</t>
        </is>
      </c>
      <c r="I109" s="23" t="inlineStr">
        <is>
          <t>-</t>
        </is>
      </c>
      <c r="J109" s="22" t="inlineStr">
        <is>
          <t>-</t>
        </is>
      </c>
      <c r="K109" s="38" t="n"/>
      <c r="L109" s="22" t="n"/>
      <c r="M109" s="286">
        <f>IFERROR(OFFSET(M109,-1,,1,1)+0.1,OFFSET(M109,-1,-1,1,1)&amp;".1")</f>
        <v/>
      </c>
      <c r="N109" s="23" t="inlineStr">
        <is>
          <t>Async/eventing scaffolding (SNS/SQS) (optional)</t>
        </is>
      </c>
      <c r="O109" s="23" t="n"/>
      <c r="P109" s="23" t="n"/>
      <c r="Q109" s="144" t="n"/>
      <c r="R109" s="137" t="n"/>
      <c r="S109" s="169">
        <f>CEILING((IF(J109="Yes", 0, IF(H109="-",AA109,AA109+AA109*VLOOKUP(H109,BUFFERS_BY_TYPE,2,FALSE)))) +
   (IF(J109="Yes", 0, IF(H109="-",AA109,AA109+AA109*VLOOKUP(H109,BUFFERS_BY_TYPE,2,FALSE))))*VLOOKUP($S$5, SALES_CALL_SCALE_ARRAY, 2,FALSE),0.25)</f>
        <v/>
      </c>
      <c r="T109" s="170" t="n"/>
      <c r="U109" s="24" t="n">
        <v>0</v>
      </c>
      <c r="V109" s="24" t="n">
        <v>1</v>
      </c>
      <c r="W109" s="24" t="n">
        <v>0</v>
      </c>
      <c r="X109" s="168" t="n"/>
      <c r="Y109" s="169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/>
      </c>
      <c r="Z109" s="25" t="n"/>
      <c r="AA109" s="169">
        <f>Y109+Y109*VLOOKUP(I109,EXTRAS_ARRAY,2,FALSE)</f>
        <v/>
      </c>
      <c r="AB109" s="23" t="n"/>
      <c r="AC109" s="37" t="n"/>
      <c r="AD109" s="26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hidden="1" outlineLevel="2" ht="43.5" customHeight="1" s="232">
      <c r="A110" s="94" t="inlineStr">
        <is>
          <t>A</t>
        </is>
      </c>
      <c r="B110" s="21" t="n"/>
      <c r="C110" s="85" t="n"/>
      <c r="D110" s="85" t="n"/>
      <c r="E110" s="85" t="n"/>
      <c r="F110" s="86" t="n"/>
      <c r="G110" s="22" t="inlineStr">
        <is>
          <t>-</t>
        </is>
      </c>
      <c r="H110" s="22" t="inlineStr">
        <is>
          <t>-</t>
        </is>
      </c>
      <c r="I110" s="23" t="inlineStr">
        <is>
          <t>-</t>
        </is>
      </c>
      <c r="J110" s="22" t="inlineStr">
        <is>
          <t>-</t>
        </is>
      </c>
      <c r="K110" s="38" t="n"/>
      <c r="L110" s="22" t="n"/>
      <c r="M110" s="286">
        <f>IFERROR(OFFSET(M110,-1,,1,1)+0.1,OFFSET(M110,-1,-1,1,1)&amp;".1")</f>
        <v/>
      </c>
      <c r="N110" s="23" t="inlineStr">
        <is>
          <t>Search integration approach (OpenSearch) (optional)</t>
        </is>
      </c>
      <c r="O110" s="23" t="n"/>
      <c r="P110" s="23" t="n"/>
      <c r="Q110" s="144" t="n"/>
      <c r="R110" s="137" t="n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/>
      </c>
      <c r="T110" s="170" t="n"/>
      <c r="U110" s="24" t="n">
        <v>0</v>
      </c>
      <c r="V110" s="24" t="n">
        <v>1</v>
      </c>
      <c r="W110" s="24" t="n">
        <v>0</v>
      </c>
      <c r="X110" s="168" t="n"/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/>
      </c>
      <c r="Z110" s="25" t="n"/>
      <c r="AA110" s="169">
        <f>Y110+Y110*VLOOKUP(I110,EXTRAS_ARRAY,2,FALSE)</f>
        <v/>
      </c>
      <c r="AB110" s="23" t="n"/>
      <c r="AC110" s="37" t="n"/>
      <c r="AD110" s="26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hidden="1" outlineLevel="2" ht="7.5" customFormat="1" customHeight="1" s="11">
      <c r="A111" s="94" t="inlineStr">
        <is>
          <t>T3</t>
        </is>
      </c>
      <c r="B111" s="18" t="n"/>
      <c r="C111" s="78" t="n"/>
      <c r="D111" s="78" t="n"/>
      <c r="E111" s="78" t="n"/>
      <c r="F111" s="78" t="n"/>
      <c r="G111" s="11" t="n"/>
      <c r="H111" s="11" t="n"/>
      <c r="I111" s="11" t="n"/>
      <c r="J111" s="11" t="n"/>
      <c r="K111" s="11" t="n"/>
      <c r="L111" s="11" t="n"/>
      <c r="M111" s="287" t="n"/>
      <c r="N111" s="11" t="n"/>
      <c r="O111" s="11" t="n"/>
      <c r="P111" s="11" t="n"/>
      <c r="Q111" s="11" t="n"/>
      <c r="R111" s="11" t="n"/>
      <c r="S111" s="11" t="n"/>
      <c r="T111" s="18" t="n"/>
      <c r="U111" s="11" t="n"/>
      <c r="V111" s="11" t="n"/>
      <c r="W111" s="11" t="n"/>
      <c r="X111" s="18" t="n"/>
      <c r="Y111" s="11" t="n"/>
      <c r="Z111" s="11" t="n"/>
      <c r="AA111" s="11" t="n"/>
      <c r="AB111" s="60" t="n"/>
      <c r="AC111" s="60" t="n"/>
      <c r="AD111" s="60" t="n"/>
    </row>
    <row r="112" hidden="1" outlineLevel="1" ht="15.5" customFormat="1" customHeight="1" s="17">
      <c r="A112" s="94" t="inlineStr">
        <is>
          <t>M</t>
        </is>
      </c>
      <c r="B112" s="21" t="n"/>
      <c r="C112" s="84" t="n"/>
      <c r="D112" s="84" t="n"/>
      <c r="E112" s="84" t="n"/>
      <c r="F112" s="83" t="n"/>
      <c r="G112" s="185" t="n"/>
      <c r="H112" s="185" t="n"/>
      <c r="I112" s="185" t="n"/>
      <c r="J112" s="185" t="n"/>
      <c r="K112" s="185" t="n"/>
      <c r="L112" s="92" t="inlineStr">
        <is>
          <t>→</t>
        </is>
      </c>
      <c r="M112" s="299" t="inlineStr">
        <is>
          <t>Task Group Name</t>
        </is>
      </c>
      <c r="N112" s="352" t="n"/>
      <c r="O112" s="87" t="n"/>
      <c r="P112" s="88" t="n"/>
      <c r="Q112" s="88" t="n"/>
      <c r="R112" s="88" t="n"/>
      <c r="S112" s="354">
        <f>SUMGROUP(ROW(), "T")</f>
        <v/>
      </c>
      <c r="U112" s="298" t="n"/>
      <c r="V112" s="352" t="n"/>
      <c r="W112" s="352" t="n"/>
      <c r="X112" s="89" t="n"/>
      <c r="Y112" s="90" t="n"/>
      <c r="Z112" s="90" t="n"/>
      <c r="AA112" s="90" t="n"/>
      <c r="AB112" s="243" t="n"/>
      <c r="AC112" s="91" t="n"/>
      <c r="AD112" s="26">
        <f>IF(M112="", "Error: Module name cannot be empty.", "")</f>
        <v/>
      </c>
    </row>
    <row r="113" hidden="1" outlineLevel="1" collapsed="1" ht="15.5" customFormat="1" customHeight="1" s="17">
      <c r="A113" s="94" t="inlineStr">
        <is>
          <t>T1</t>
        </is>
      </c>
      <c r="B113" s="21" t="n"/>
      <c r="C113" s="84" t="n"/>
      <c r="D113" s="84" t="n"/>
      <c r="E113" s="84" t="n"/>
      <c r="F113" s="83" t="n"/>
      <c r="G113" s="32" t="n"/>
      <c r="H113" s="32" t="n"/>
      <c r="I113" s="32" t="n"/>
      <c r="J113" s="32" t="n"/>
      <c r="K113" s="32" t="n"/>
      <c r="L113" s="20">
        <f>LOOKUP(1000,INDIRECT("L1:"&amp;CELL("address",INDIRECT("R[-1]C",FALSE))))+1</f>
        <v/>
      </c>
      <c r="M113" s="301" t="inlineStr">
        <is>
          <t>Task Name</t>
        </is>
      </c>
      <c r="N113" s="352" t="n"/>
      <c r="O113" s="5" t="n"/>
      <c r="P113" s="33" t="n"/>
      <c r="Q113" s="33" t="n"/>
      <c r="R113" s="33" t="n"/>
      <c r="S113" s="33" t="n"/>
      <c r="T113" s="167">
        <f>IF($S$6="Exclude", SUMIFS(S114:S117, J114:J117, "&lt;&gt;Yes", G114:G117, "&lt;&gt;Yes"), SUMIFS(S114:S117, J114:J117, "&lt;&gt;Yes"))</f>
        <v/>
      </c>
      <c r="U113" s="33" t="n"/>
      <c r="V113" s="33" t="n"/>
      <c r="W113" s="33" t="n"/>
      <c r="X113" s="34" t="n"/>
      <c r="Y113" s="35" t="n"/>
      <c r="Z113" s="35" t="n"/>
      <c r="AA113" s="35" t="n"/>
      <c r="AB113" s="240" t="n"/>
      <c r="AC113" s="36" t="n"/>
      <c r="AD113" s="26">
        <f>IF(M113="", "Error: Task name cannot be empty.", "")</f>
        <v/>
      </c>
    </row>
    <row r="114" hidden="1" outlineLevel="2" ht="1.5" customFormat="1" customHeight="1" s="15">
      <c r="A114" s="94" t="inlineStr">
        <is>
          <t>T2</t>
        </is>
      </c>
      <c r="B114" s="21" t="n"/>
      <c r="C114" s="84" t="n"/>
      <c r="D114" s="84" t="n"/>
      <c r="E114" s="84" t="n"/>
      <c r="F114" s="83" t="n"/>
      <c r="G114" s="32" t="n"/>
      <c r="H114" s="32" t="n"/>
      <c r="I114" s="32" t="n"/>
      <c r="J114" s="32" t="n"/>
      <c r="K114" s="32" t="n"/>
      <c r="L114" s="175">
        <f>L113</f>
        <v/>
      </c>
      <c r="M114" s="176" t="inlineStr">
        <is>
          <t>X</t>
        </is>
      </c>
      <c r="N114" s="173" t="n"/>
      <c r="O114" s="174" t="n"/>
      <c r="P114" s="33" t="n"/>
      <c r="Q114" s="33" t="n"/>
      <c r="R114" s="33" t="n"/>
      <c r="S114" s="33" t="n"/>
      <c r="T114" s="167" t="n"/>
      <c r="U114" s="33" t="n"/>
      <c r="V114" s="33" t="n"/>
      <c r="W114" s="33" t="n"/>
      <c r="X114" s="34" t="n"/>
      <c r="Y114" s="35" t="n"/>
      <c r="Z114" s="35" t="n"/>
      <c r="AA114" s="35" t="n"/>
      <c r="AB114" s="36" t="n"/>
      <c r="AC114" s="36" t="n"/>
      <c r="AD114" s="26" t="n"/>
    </row>
    <row r="115" hidden="1" outlineLevel="2" ht="43.5" customHeight="1" s="232">
      <c r="A115" s="94" t="inlineStr">
        <is>
          <t>A</t>
        </is>
      </c>
      <c r="B115" s="21" t="n"/>
      <c r="C115" s="85" t="n"/>
      <c r="D115" s="85" t="n"/>
      <c r="E115" s="85" t="n"/>
      <c r="F115" s="86" t="n"/>
      <c r="G115" s="22" t="inlineStr">
        <is>
          <t>-</t>
        </is>
      </c>
      <c r="H115" s="22" t="inlineStr">
        <is>
          <t>-</t>
        </is>
      </c>
      <c r="I115" s="23" t="inlineStr">
        <is>
          <t>-</t>
        </is>
      </c>
      <c r="J115" s="22" t="inlineStr">
        <is>
          <t>-</t>
        </is>
      </c>
      <c r="K115" s="38" t="n"/>
      <c r="L115" s="22" t="n"/>
      <c r="M115" s="286">
        <f>IFERROR(OFFSET(M115,-1,,1,1)+0.1,OFFSET(M115,-1,-1,1,1)&amp;".1")</f>
        <v/>
      </c>
      <c r="N115" s="23" t="inlineStr">
        <is>
          <t>Screen: &lt;screen name&gt;
&gt;&gt; CRUD, List, Search</t>
        </is>
      </c>
      <c r="O115" s="23" t="n"/>
      <c r="P115" s="23" t="n"/>
      <c r="Q115" s="144" t="n"/>
      <c r="R115" s="137" t="n"/>
      <c r="S115" s="169">
        <f>CEILING((IF(J115="Yes", 0, IF(H115="-",AA115,AA115+AA115*VLOOKUP(H115,BUFFERS_BY_TYPE,2,FALSE)))) +
   (IF(J115="Yes", 0, IF(H115="-",AA115,AA115+AA115*VLOOKUP(H115,BUFFERS_BY_TYPE,2,FALSE))))*VLOOKUP($S$5, SALES_CALL_SCALE_ARRAY, 2,FALSE),0.25)</f>
        <v/>
      </c>
      <c r="T115" s="170" t="n"/>
      <c r="U115" s="24" t="n">
        <v>0</v>
      </c>
      <c r="V115" s="24" t="n">
        <v>1</v>
      </c>
      <c r="W115" s="24" t="n">
        <v>0</v>
      </c>
      <c r="X115" s="168" t="n"/>
      <c r="Y115" s="169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/>
      </c>
      <c r="Z115" s="25" t="n"/>
      <c r="AA115" s="169">
        <f>Y115+Y115*VLOOKUP(I115,EXTRAS_ARRAY,2,FALSE)</f>
        <v/>
      </c>
      <c r="AB115" s="23" t="n"/>
      <c r="AC115" s="37" t="n"/>
      <c r="AD115" s="26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hidden="1" outlineLevel="2" ht="43.5" customHeight="1" s="232">
      <c r="A116" s="94" t="inlineStr">
        <is>
          <t>A</t>
        </is>
      </c>
      <c r="B116" s="21" t="n"/>
      <c r="C116" s="85" t="n"/>
      <c r="D116" s="85" t="n"/>
      <c r="E116" s="85" t="n"/>
      <c r="F116" s="86" t="n"/>
      <c r="G116" s="22" t="inlineStr">
        <is>
          <t>-</t>
        </is>
      </c>
      <c r="H116" s="22" t="inlineStr">
        <is>
          <t>-</t>
        </is>
      </c>
      <c r="I116" s="23" t="inlineStr">
        <is>
          <t>-</t>
        </is>
      </c>
      <c r="J116" s="22" t="inlineStr">
        <is>
          <t>-</t>
        </is>
      </c>
      <c r="K116" s="38" t="n"/>
      <c r="L116" s="22" t="n"/>
      <c r="M116" s="286">
        <f>IFERROR(OFFSET(M116,-1,,1,1)+0.1,OFFSET(M116,-1,-1,1,1)&amp;".1")</f>
        <v/>
      </c>
      <c r="N116" s="23" t="inlineStr">
        <is>
          <t>Task: &lt;task name&gt;
&gt;&gt; Activity</t>
        </is>
      </c>
      <c r="O116" s="23" t="n"/>
      <c r="P116" s="23" t="n"/>
      <c r="Q116" s="144" t="n"/>
      <c r="R116" s="137" t="n"/>
      <c r="S116" s="169">
        <f>CEILING((IF(J116="Yes", 0, IF(H116="-",AA116,AA116+AA116*VLOOKUP(H116,BUFFERS_BY_TYPE,2,FALSE)))) +
   (IF(J116="Yes", 0, IF(H116="-",AA116,AA116+AA116*VLOOKUP(H116,BUFFERS_BY_TYPE,2,FALSE))))*VLOOKUP($S$5, SALES_CALL_SCALE_ARRAY, 2,FALSE),0.25)</f>
        <v/>
      </c>
      <c r="T116" s="170" t="n"/>
      <c r="U116" s="24" t="n">
        <v>0</v>
      </c>
      <c r="V116" s="24" t="n">
        <v>1</v>
      </c>
      <c r="W116" s="24" t="n">
        <v>0</v>
      </c>
      <c r="X116" s="168" t="n"/>
      <c r="Y116" s="169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/>
      </c>
      <c r="Z116" s="25" t="n"/>
      <c r="AA116" s="169">
        <f>Y116+Y116*VLOOKUP(I116,EXTRAS_ARRAY,2,FALSE)</f>
        <v/>
      </c>
      <c r="AB116" s="23" t="n"/>
      <c r="AC116" s="37" t="n"/>
      <c r="AD116" s="26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hidden="1" outlineLevel="2" ht="7.5" customFormat="1" customHeight="1" s="11">
      <c r="A117" s="94" t="inlineStr">
        <is>
          <t>T3</t>
        </is>
      </c>
      <c r="B117" s="18" t="n"/>
      <c r="C117" s="78" t="n"/>
      <c r="D117" s="78" t="n"/>
      <c r="E117" s="78" t="n"/>
      <c r="F117" s="78" t="n"/>
      <c r="G117" s="11" t="n"/>
      <c r="H117" s="11" t="n"/>
      <c r="I117" s="11" t="n"/>
      <c r="J117" s="11" t="n"/>
      <c r="K117" s="11" t="n"/>
      <c r="L117" s="11" t="n"/>
      <c r="M117" s="287" t="n"/>
      <c r="N117" s="11" t="n"/>
      <c r="O117" s="11" t="n"/>
      <c r="P117" s="11" t="n"/>
      <c r="Q117" s="11" t="n"/>
      <c r="R117" s="11" t="n"/>
      <c r="S117" s="11" t="n"/>
      <c r="T117" s="18" t="n"/>
      <c r="U117" s="11" t="n"/>
      <c r="V117" s="11" t="n"/>
      <c r="W117" s="11" t="n"/>
      <c r="X117" s="18" t="n"/>
      <c r="Y117" s="11" t="n"/>
      <c r="Z117" s="11" t="n"/>
      <c r="AA117" s="11" t="n"/>
      <c r="AB117" s="60" t="n"/>
      <c r="AC117" s="60" t="n"/>
      <c r="AD117" s="60" t="n"/>
    </row>
    <row r="118" hidden="1" outlineLevel="1" ht="15.5" customFormat="1" customHeight="1" s="17">
      <c r="A118" s="94" t="inlineStr">
        <is>
          <t>M</t>
        </is>
      </c>
      <c r="B118" s="21" t="n"/>
      <c r="C118" s="84" t="n"/>
      <c r="D118" s="84" t="n"/>
      <c r="E118" s="84" t="n"/>
      <c r="F118" s="83" t="n"/>
      <c r="G118" s="185" t="n"/>
      <c r="H118" s="185" t="n"/>
      <c r="I118" s="185" t="n"/>
      <c r="J118" s="185" t="n"/>
      <c r="K118" s="185" t="n"/>
      <c r="L118" s="92" t="inlineStr">
        <is>
          <t>→</t>
        </is>
      </c>
      <c r="M118" s="299" t="inlineStr">
        <is>
          <t>Data Migration</t>
        </is>
      </c>
      <c r="N118" s="352" t="n"/>
      <c r="O118" s="87" t="n"/>
      <c r="P118" s="88" t="n"/>
      <c r="Q118" s="88" t="n"/>
      <c r="R118" s="88" t="n"/>
      <c r="S118" s="354">
        <f>SUMGROUP(ROW(), "T")</f>
        <v/>
      </c>
      <c r="U118" s="298" t="n"/>
      <c r="V118" s="352" t="n"/>
      <c r="W118" s="352" t="n"/>
      <c r="X118" s="89" t="n"/>
      <c r="Y118" s="90" t="n"/>
      <c r="Z118" s="90" t="n"/>
      <c r="AA118" s="90" t="n"/>
      <c r="AB118" s="243" t="n"/>
      <c r="AC118" s="91" t="n"/>
      <c r="AD118" s="26">
        <f>IF(M118="", "Error: Module name cannot be empty.", "")</f>
        <v/>
      </c>
    </row>
    <row r="119" hidden="1" outlineLevel="1" collapsed="1" ht="15.5" customFormat="1" customHeight="1" s="17">
      <c r="A119" s="94" t="inlineStr">
        <is>
          <t>T1</t>
        </is>
      </c>
      <c r="B119" s="21" t="n"/>
      <c r="C119" s="84" t="n"/>
      <c r="D119" s="84" t="n"/>
      <c r="E119" s="84" t="n"/>
      <c r="F119" s="83" t="n"/>
      <c r="G119" s="32" t="n"/>
      <c r="H119" s="32" t="n"/>
      <c r="I119" s="32" t="n"/>
      <c r="J119" s="32" t="n"/>
      <c r="K119" s="32" t="n"/>
      <c r="L119" s="20">
        <f>LOOKUP(1000,INDIRECT("L1:"&amp;CELL("address",INDIRECT("R[-1]C",FALSE))))+1</f>
        <v/>
      </c>
      <c r="M119" s="301" t="inlineStr">
        <is>
          <t>Data Migration ETL Process</t>
        </is>
      </c>
      <c r="N119" s="352" t="n"/>
      <c r="O119" s="5" t="n"/>
      <c r="P119" s="33" t="n"/>
      <c r="Q119" s="33" t="n"/>
      <c r="R119" s="33" t="n"/>
      <c r="S119" s="33" t="n"/>
      <c r="T119" s="167">
        <f>IF($S$6="Exclude", SUMIFS(S120:S123, J120:J123, "&lt;&gt;Yes", G120:G123, "&lt;&gt;Yes"), SUMIFS(S120:S123, J120:J123, "&lt;&gt;Yes"))</f>
        <v/>
      </c>
      <c r="U119" s="33" t="n"/>
      <c r="V119" s="33" t="n"/>
      <c r="W119" s="33" t="n"/>
      <c r="X119" s="34" t="n"/>
      <c r="Y119" s="35" t="n"/>
      <c r="Z119" s="35" t="n"/>
      <c r="AA119" s="35" t="n"/>
      <c r="AB119" s="240" t="n"/>
      <c r="AC119" s="36" t="n"/>
      <c r="AD119" s="26">
        <f>IF(M119="", "Error: Task name cannot be empty.", "")</f>
        <v/>
      </c>
    </row>
    <row r="120" hidden="1" outlineLevel="2" ht="1.5" customFormat="1" customHeight="1" s="15">
      <c r="A120" s="94" t="inlineStr">
        <is>
          <t>T2</t>
        </is>
      </c>
      <c r="B120" s="21" t="n"/>
      <c r="C120" s="84" t="n"/>
      <c r="D120" s="84" t="n"/>
      <c r="E120" s="84" t="n"/>
      <c r="F120" s="83" t="n"/>
      <c r="G120" s="32" t="n"/>
      <c r="H120" s="32" t="n"/>
      <c r="I120" s="32" t="n"/>
      <c r="J120" s="32" t="n"/>
      <c r="K120" s="32" t="n"/>
      <c r="L120" s="175">
        <f>L119</f>
        <v/>
      </c>
      <c r="M120" s="176" t="inlineStr">
        <is>
          <t>X</t>
        </is>
      </c>
      <c r="N120" s="173" t="n"/>
      <c r="O120" s="174" t="n"/>
      <c r="P120" s="33" t="n"/>
      <c r="Q120" s="33" t="n"/>
      <c r="R120" s="33" t="n"/>
      <c r="S120" s="33" t="n"/>
      <c r="T120" s="167" t="n"/>
      <c r="U120" s="33" t="n"/>
      <c r="V120" s="33" t="n"/>
      <c r="W120" s="33" t="n"/>
      <c r="X120" s="34" t="n"/>
      <c r="Y120" s="35" t="n"/>
      <c r="Z120" s="35" t="n"/>
      <c r="AA120" s="35" t="n"/>
      <c r="AB120" s="36" t="n"/>
      <c r="AC120" s="36" t="n"/>
      <c r="AD120" s="26" t="n"/>
    </row>
    <row r="121" hidden="1" outlineLevel="2" ht="43.5" customHeight="1" s="232">
      <c r="A121" s="94" t="inlineStr">
        <is>
          <t>A</t>
        </is>
      </c>
      <c r="B121" s="21" t="n"/>
      <c r="C121" s="85" t="n"/>
      <c r="D121" s="85" t="n"/>
      <c r="E121" s="85" t="n"/>
      <c r="F121" s="86" t="n"/>
      <c r="G121" s="22" t="inlineStr">
        <is>
          <t>-</t>
        </is>
      </c>
      <c r="H121" s="22" t="inlineStr">
        <is>
          <t>-</t>
        </is>
      </c>
      <c r="I121" s="23" t="inlineStr">
        <is>
          <t>-</t>
        </is>
      </c>
      <c r="J121" s="22" t="inlineStr">
        <is>
          <t>-</t>
        </is>
      </c>
      <c r="K121" s="38" t="n"/>
      <c r="L121" s="22" t="n"/>
      <c r="M121" s="286">
        <f>IFERROR(OFFSET(M121,-1,,1,1)+0.1,OFFSET(M121,-1,-1,1,1)&amp;".1")</f>
        <v/>
      </c>
      <c r="N121" s="23" t="inlineStr">
        <is>
          <t>&gt;&gt; From older to new database
&gt;&gt; ETL Process and data de-duplication</t>
        </is>
      </c>
      <c r="O121" s="23" t="n"/>
      <c r="P121" s="23" t="n"/>
      <c r="Q121" s="144" t="n"/>
      <c r="R121" s="137" t="n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/>
      </c>
      <c r="T121" s="170" t="n"/>
      <c r="U121" s="24" t="n">
        <v>0</v>
      </c>
      <c r="V121" s="24" t="n">
        <v>1</v>
      </c>
      <c r="W121" s="24" t="n">
        <v>0</v>
      </c>
      <c r="X121" s="168" t="n"/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/>
      </c>
      <c r="Z121" s="25" t="n"/>
      <c r="AA121" s="169">
        <f>Y121+Y121*VLOOKUP(I121,EXTRAS_ARRAY,2,FALSE)</f>
        <v/>
      </c>
      <c r="AB121" s="23" t="n"/>
      <c r="AC121" s="37" t="n"/>
      <c r="AD121" s="26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hidden="1" outlineLevel="2" ht="58" customHeight="1" s="232">
      <c r="A122" s="94" t="inlineStr">
        <is>
          <t>A</t>
        </is>
      </c>
      <c r="B122" s="21" t="n"/>
      <c r="C122" s="85" t="n"/>
      <c r="D122" s="85" t="n"/>
      <c r="E122" s="85" t="n"/>
      <c r="F122" s="86" t="n"/>
      <c r="G122" s="22" t="inlineStr">
        <is>
          <t>-</t>
        </is>
      </c>
      <c r="H122" s="22" t="inlineStr">
        <is>
          <t>-</t>
        </is>
      </c>
      <c r="I122" s="23" t="inlineStr">
        <is>
          <t>-</t>
        </is>
      </c>
      <c r="J122" s="22" t="inlineStr">
        <is>
          <t>-</t>
        </is>
      </c>
      <c r="K122" s="38" t="n"/>
      <c r="L122" s="22" t="n"/>
      <c r="M122" s="286">
        <f>IFERROR(OFFSET(M122,-1,,1,1)+0.1,OFFSET(M122,-1,-1,1,1)&amp;".1")</f>
        <v/>
      </c>
      <c r="N122" s="23" t="inlineStr">
        <is>
          <t>Task activity
&gt;&gt; Scope Item 1 
&gt;&gt; Scope Item 2
&gt;&gt; Scope Item 3</t>
        </is>
      </c>
      <c r="O122" s="23" t="n"/>
      <c r="P122" s="23" t="n"/>
      <c r="Q122" s="144" t="n"/>
      <c r="R122" s="137" t="n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/>
      </c>
      <c r="T122" s="170" t="n"/>
      <c r="U122" s="24" t="n">
        <v>0</v>
      </c>
      <c r="V122" s="24" t="n">
        <v>1</v>
      </c>
      <c r="W122" s="24" t="n">
        <v>0</v>
      </c>
      <c r="X122" s="168" t="n"/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/>
      </c>
      <c r="Z122" s="25" t="n"/>
      <c r="AA122" s="169">
        <f>Y122+Y122*VLOOKUP(I122,EXTRAS_ARRAY,2,FALSE)</f>
        <v/>
      </c>
      <c r="AB122" s="23" t="n"/>
      <c r="AC122" s="37" t="n"/>
      <c r="AD122" s="26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hidden="1" outlineLevel="2" ht="7.5" customFormat="1" customHeight="1" s="11">
      <c r="A123" s="94" t="inlineStr">
        <is>
          <t>T3</t>
        </is>
      </c>
      <c r="B123" s="18" t="n"/>
      <c r="C123" s="78" t="n"/>
      <c r="D123" s="78" t="n"/>
      <c r="E123" s="78" t="n"/>
      <c r="F123" s="78" t="n"/>
      <c r="G123" s="11" t="n"/>
      <c r="H123" s="11" t="n"/>
      <c r="I123" s="11" t="n"/>
      <c r="J123" s="11" t="n"/>
      <c r="K123" s="11" t="n"/>
      <c r="L123" s="11" t="n"/>
      <c r="M123" s="287" t="n"/>
      <c r="N123" s="11" t="n"/>
      <c r="O123" s="11" t="n"/>
      <c r="P123" s="11" t="n"/>
      <c r="Q123" s="11" t="n"/>
      <c r="R123" s="11" t="n"/>
      <c r="S123" s="11" t="n"/>
      <c r="T123" s="18" t="n"/>
      <c r="U123" s="11" t="n"/>
      <c r="V123" s="11" t="n"/>
      <c r="W123" s="11" t="n"/>
      <c r="X123" s="18" t="n"/>
      <c r="Y123" s="11" t="n"/>
      <c r="Z123" s="11" t="n"/>
      <c r="AA123" s="11" t="n"/>
      <c r="AB123" s="60" t="n"/>
      <c r="AC123" s="60" t="n"/>
      <c r="AD123" s="60" t="n"/>
    </row>
    <row r="124" hidden="1" outlineLevel="1" collapsed="1" ht="15.5" customFormat="1" customHeight="1" s="17">
      <c r="A124" s="94" t="inlineStr">
        <is>
          <t>T1</t>
        </is>
      </c>
      <c r="B124" s="21" t="n"/>
      <c r="C124" s="84" t="n"/>
      <c r="D124" s="84" t="n"/>
      <c r="E124" s="84" t="n"/>
      <c r="F124" s="83" t="n"/>
      <c r="G124" s="32" t="n"/>
      <c r="H124" s="32" t="n"/>
      <c r="I124" s="32" t="n"/>
      <c r="J124" s="32" t="n"/>
      <c r="K124" s="32" t="n"/>
      <c r="L124" s="20">
        <f>LOOKUP(1000,INDIRECT("L1:"&amp;CELL("address",INDIRECT("R[-1]C",FALSE))))+1</f>
        <v/>
      </c>
      <c r="M124" s="301" t="inlineStr">
        <is>
          <t>Data Migration Execution</t>
        </is>
      </c>
      <c r="N124" s="352" t="n"/>
      <c r="O124" s="5" t="n"/>
      <c r="P124" s="33" t="n"/>
      <c r="Q124" s="33" t="n"/>
      <c r="R124" s="33" t="n"/>
      <c r="S124" s="33" t="n"/>
      <c r="T124" s="167">
        <f>IF($S$6="Exclude", SUMIFS(S125:S127, J125:J127, "&lt;&gt;Yes", G125:G127, "&lt;&gt;Yes"), SUMIFS(S125:S127, J125:J127, "&lt;&gt;Yes"))</f>
        <v/>
      </c>
      <c r="U124" s="33" t="n"/>
      <c r="V124" s="33" t="n"/>
      <c r="W124" s="33" t="n"/>
      <c r="X124" s="34" t="n"/>
      <c r="Y124" s="35" t="n"/>
      <c r="Z124" s="35" t="n"/>
      <c r="AA124" s="35" t="n"/>
      <c r="AB124" s="240" t="n"/>
      <c r="AC124" s="36" t="n"/>
      <c r="AD124" s="26">
        <f>IF(M124="", "Error: Task name cannot be empty.", "")</f>
        <v/>
      </c>
    </row>
    <row r="125" hidden="1" outlineLevel="2" ht="1.5" customFormat="1" customHeight="1" s="15">
      <c r="A125" s="94" t="inlineStr">
        <is>
          <t>T2</t>
        </is>
      </c>
      <c r="B125" s="21" t="n"/>
      <c r="C125" s="84" t="n"/>
      <c r="D125" s="84" t="n"/>
      <c r="E125" s="84" t="n"/>
      <c r="F125" s="83" t="n"/>
      <c r="G125" s="32" t="n"/>
      <c r="H125" s="32" t="n"/>
      <c r="I125" s="32" t="n"/>
      <c r="J125" s="32" t="n"/>
      <c r="K125" s="32" t="n"/>
      <c r="L125" s="175">
        <f>L124</f>
        <v/>
      </c>
      <c r="M125" s="176" t="inlineStr">
        <is>
          <t>X</t>
        </is>
      </c>
      <c r="N125" s="173" t="n"/>
      <c r="O125" s="174" t="n"/>
      <c r="P125" s="33" t="n"/>
      <c r="Q125" s="33" t="n"/>
      <c r="R125" s="33" t="n"/>
      <c r="S125" s="33" t="n"/>
      <c r="T125" s="167" t="n"/>
      <c r="U125" s="33" t="n"/>
      <c r="V125" s="33" t="n"/>
      <c r="W125" s="33" t="n"/>
      <c r="X125" s="34" t="n"/>
      <c r="Y125" s="35" t="n"/>
      <c r="Z125" s="35" t="n"/>
      <c r="AA125" s="35" t="n"/>
      <c r="AB125" s="36" t="n"/>
      <c r="AC125" s="36" t="n"/>
      <c r="AD125" s="26" t="n"/>
    </row>
    <row r="126" hidden="1" outlineLevel="2" ht="43.5" customHeight="1" s="232">
      <c r="A126" s="94" t="inlineStr">
        <is>
          <t>A</t>
        </is>
      </c>
      <c r="B126" s="21" t="n"/>
      <c r="C126" s="85" t="n"/>
      <c r="D126" s="85" t="n"/>
      <c r="E126" s="85" t="n"/>
      <c r="F126" s="86" t="n"/>
      <c r="G126" s="22" t="inlineStr">
        <is>
          <t>-</t>
        </is>
      </c>
      <c r="H126" s="22" t="inlineStr">
        <is>
          <t>-</t>
        </is>
      </c>
      <c r="I126" s="23" t="inlineStr">
        <is>
          <t>-</t>
        </is>
      </c>
      <c r="J126" s="22" t="inlineStr">
        <is>
          <t>-</t>
        </is>
      </c>
      <c r="K126" s="38" t="n"/>
      <c r="L126" s="22" t="n"/>
      <c r="M126" s="286">
        <f>IFERROR(OFFSET(M126,-1,,1,1)+0.1,OFFSET(M126,-1,-1,1,1)&amp;".1")</f>
        <v/>
      </c>
      <c r="N126" s="23" t="inlineStr">
        <is>
          <t>&gt;&gt; From older to new SQL Server DB
&gt;&gt; Master Script</t>
        </is>
      </c>
      <c r="O126" s="23" t="n"/>
      <c r="P126" s="23" t="n"/>
      <c r="Q126" s="144" t="n"/>
      <c r="R126" s="137" t="n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/>
      </c>
      <c r="T126" s="170" t="n"/>
      <c r="U126" s="24" t="n">
        <v>0</v>
      </c>
      <c r="V126" s="24" t="n">
        <v>1</v>
      </c>
      <c r="W126" s="24" t="n">
        <v>0</v>
      </c>
      <c r="X126" s="168" t="n"/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/>
      </c>
      <c r="Z126" s="25" t="n"/>
      <c r="AA126" s="169">
        <f>Y126+Y126*VLOOKUP(I126,EXTRAS_ARRAY,2,FALSE)</f>
        <v/>
      </c>
      <c r="AB126" s="23" t="n"/>
      <c r="AC126" s="37" t="n"/>
      <c r="AD126" s="26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hidden="1" outlineLevel="2" ht="7.5" customFormat="1" customHeight="1" s="11">
      <c r="A127" s="94" t="inlineStr">
        <is>
          <t>T3</t>
        </is>
      </c>
      <c r="B127" s="18" t="n"/>
      <c r="C127" s="78" t="n"/>
      <c r="D127" s="78" t="n"/>
      <c r="E127" s="78" t="n"/>
      <c r="F127" s="78" t="n"/>
      <c r="G127" s="11" t="n"/>
      <c r="H127" s="11" t="n"/>
      <c r="I127" s="11" t="n"/>
      <c r="J127" s="11" t="n"/>
      <c r="K127" s="11" t="n"/>
      <c r="L127" s="11" t="n"/>
      <c r="M127" s="287" t="n"/>
      <c r="N127" s="11" t="n"/>
      <c r="O127" s="11" t="n"/>
      <c r="P127" s="11" t="n"/>
      <c r="Q127" s="11" t="n"/>
      <c r="R127" s="11" t="n"/>
      <c r="S127" s="11" t="n"/>
      <c r="T127" s="18" t="n"/>
      <c r="U127" s="11" t="n"/>
      <c r="V127" s="11" t="n"/>
      <c r="W127" s="11" t="n"/>
      <c r="X127" s="18" t="n"/>
      <c r="Y127" s="11" t="n"/>
      <c r="Z127" s="11" t="n"/>
      <c r="AA127" s="11" t="n"/>
      <c r="AB127" s="60" t="n"/>
      <c r="AC127" s="60" t="n"/>
      <c r="AD127" s="60" t="n"/>
    </row>
    <row r="128" hidden="1" outlineLevel="1" ht="15.5" customFormat="1" customHeight="1" s="17">
      <c r="A128" s="94" t="inlineStr">
        <is>
          <t>M</t>
        </is>
      </c>
      <c r="B128" s="21" t="n"/>
      <c r="C128" s="84" t="n"/>
      <c r="D128" s="84" t="n"/>
      <c r="E128" s="84" t="n"/>
      <c r="F128" s="83" t="n"/>
      <c r="G128" s="185" t="n"/>
      <c r="H128" s="185" t="n"/>
      <c r="I128" s="185" t="n"/>
      <c r="J128" s="185" t="n"/>
      <c r="K128" s="185" t="n"/>
      <c r="L128" s="92" t="inlineStr">
        <is>
          <t>→</t>
        </is>
      </c>
      <c r="M128" s="299" t="inlineStr">
        <is>
          <t>System Stabilization</t>
        </is>
      </c>
      <c r="N128" s="352" t="n"/>
      <c r="O128" s="87" t="n"/>
      <c r="P128" s="88" t="n"/>
      <c r="Q128" s="88" t="n"/>
      <c r="R128" s="88" t="n"/>
      <c r="S128" s="354">
        <f>SUMGROUP(ROW(), "T")</f>
        <v/>
      </c>
      <c r="U128" s="298" t="n"/>
      <c r="V128" s="352" t="n"/>
      <c r="W128" s="352" t="n"/>
      <c r="X128" s="89" t="n"/>
      <c r="Y128" s="90" t="n"/>
      <c r="Z128" s="90" t="n"/>
      <c r="AA128" s="90" t="n"/>
      <c r="AB128" s="243" t="n"/>
      <c r="AC128" s="91" t="n"/>
      <c r="AD128" s="26">
        <f>IF(M128="", "Error: Module name cannot be empty.", "")</f>
        <v/>
      </c>
    </row>
    <row r="129" hidden="1" outlineLevel="1" collapsed="1" ht="15.5" customFormat="1" customHeight="1" s="17">
      <c r="A129" s="94" t="inlineStr">
        <is>
          <t>T1</t>
        </is>
      </c>
      <c r="B129" s="21" t="n"/>
      <c r="C129" s="84" t="n"/>
      <c r="D129" s="84" t="n"/>
      <c r="E129" s="84" t="n"/>
      <c r="F129" s="83" t="n"/>
      <c r="G129" s="32" t="n"/>
      <c r="H129" s="32" t="n"/>
      <c r="I129" s="32" t="n"/>
      <c r="J129" s="32" t="n"/>
      <c r="K129" s="32" t="n"/>
      <c r="L129" s="20">
        <f>LOOKUP(1000,INDIRECT("L1:"&amp;CELL("address",INDIRECT("R[-1]C",FALSE))))+1</f>
        <v/>
      </c>
      <c r="M129" s="301" t="inlineStr">
        <is>
          <t>System Stabilization</t>
        </is>
      </c>
      <c r="N129" s="352" t="n"/>
      <c r="O129" s="5" t="n"/>
      <c r="P129" s="33" t="n"/>
      <c r="Q129" s="33" t="n"/>
      <c r="R129" s="33" t="n"/>
      <c r="S129" s="33" t="n"/>
      <c r="T129" s="167">
        <f>IF($S$6="Exclude", SUMIFS(S130:S133, J130:J133, "&lt;&gt;Yes", G130:G133, "&lt;&gt;Yes"), SUMIFS(S130:S133, J130:J133, "&lt;&gt;Yes"))</f>
        <v/>
      </c>
      <c r="U129" s="33" t="n"/>
      <c r="V129" s="33" t="n"/>
      <c r="W129" s="33" t="n"/>
      <c r="X129" s="34" t="n"/>
      <c r="Y129" s="35" t="n"/>
      <c r="Z129" s="35" t="n"/>
      <c r="AA129" s="35" t="n"/>
      <c r="AB129" s="240" t="n"/>
      <c r="AC129" s="36" t="n"/>
      <c r="AD129" s="26">
        <f>IF(M129="", "Error: Task name cannot be empty.", "")</f>
        <v/>
      </c>
    </row>
    <row r="130" hidden="1" outlineLevel="2" ht="1.5" customFormat="1" customHeight="1" s="15">
      <c r="A130" s="94" t="inlineStr">
        <is>
          <t>T2</t>
        </is>
      </c>
      <c r="B130" s="21" t="n"/>
      <c r="C130" s="84" t="n"/>
      <c r="D130" s="84" t="n"/>
      <c r="E130" s="84" t="n"/>
      <c r="F130" s="83" t="n"/>
      <c r="G130" s="32" t="n"/>
      <c r="H130" s="32" t="n"/>
      <c r="I130" s="32" t="n"/>
      <c r="J130" s="32" t="n"/>
      <c r="K130" s="32" t="n"/>
      <c r="L130" s="175">
        <f>L129</f>
        <v/>
      </c>
      <c r="M130" s="176" t="inlineStr">
        <is>
          <t>X</t>
        </is>
      </c>
      <c r="N130" s="173" t="n"/>
      <c r="O130" s="174" t="n"/>
      <c r="P130" s="33" t="n"/>
      <c r="Q130" s="33" t="n"/>
      <c r="R130" s="33" t="n"/>
      <c r="S130" s="33" t="n"/>
      <c r="T130" s="167" t="n"/>
      <c r="U130" s="33" t="n"/>
      <c r="V130" s="33" t="n"/>
      <c r="W130" s="33" t="n"/>
      <c r="X130" s="34" t="n"/>
      <c r="Y130" s="35" t="n"/>
      <c r="Z130" s="35" t="n"/>
      <c r="AA130" s="35" t="n"/>
      <c r="AB130" s="36" t="n"/>
      <c r="AC130" s="36" t="n"/>
      <c r="AD130" s="26" t="n"/>
    </row>
    <row r="131" hidden="1" outlineLevel="2" ht="43.5" customHeight="1" s="232">
      <c r="A131" s="94" t="inlineStr">
        <is>
          <t>A</t>
        </is>
      </c>
      <c r="B131" s="21" t="n"/>
      <c r="C131" s="85" t="n"/>
      <c r="D131" s="85" t="n"/>
      <c r="E131" s="85" t="n"/>
      <c r="F131" s="86" t="n"/>
      <c r="G131" s="22" t="inlineStr">
        <is>
          <t>-</t>
        </is>
      </c>
      <c r="H131" s="22" t="inlineStr">
        <is>
          <t>-</t>
        </is>
      </c>
      <c r="I131" s="23" t="inlineStr">
        <is>
          <t>-</t>
        </is>
      </c>
      <c r="J131" s="22" t="inlineStr">
        <is>
          <t>-</t>
        </is>
      </c>
      <c r="K131" s="38" t="n"/>
      <c r="L131" s="22" t="n"/>
      <c r="M131" s="286">
        <f>IFERROR(OFFSET(M131,-1,,1,1)+0.1,OFFSET(M131,-1,-1,1,1)&amp;".1")</f>
        <v/>
      </c>
      <c r="N131" s="23" t="inlineStr">
        <is>
          <t>Performance tuning</t>
        </is>
      </c>
      <c r="O131" s="23" t="n"/>
      <c r="P131" s="23" t="n"/>
      <c r="Q131" s="144" t="n"/>
      <c r="R131" s="137" t="n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/>
      </c>
      <c r="T131" s="170" t="n"/>
      <c r="U131" s="24" t="n">
        <v>0</v>
      </c>
      <c r="V131" s="24" t="n">
        <v>1</v>
      </c>
      <c r="W131" s="24" t="n">
        <v>0</v>
      </c>
      <c r="X131" s="168" t="n"/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/>
      </c>
      <c r="Z131" s="25" t="n"/>
      <c r="AA131" s="169">
        <f>Y131+Y131*VLOOKUP(I131,EXTRAS_ARRAY,2,FALSE)</f>
        <v/>
      </c>
      <c r="AB131" s="23" t="n"/>
      <c r="AC131" s="37" t="n"/>
      <c r="AD131" s="26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hidden="1" outlineLevel="2" ht="43.5" customHeight="1" s="232">
      <c r="A132" s="94" t="inlineStr">
        <is>
          <t>A</t>
        </is>
      </c>
      <c r="B132" s="21" t="n"/>
      <c r="C132" s="85" t="n"/>
      <c r="D132" s="85" t="n"/>
      <c r="E132" s="85" t="n"/>
      <c r="F132" s="86" t="n"/>
      <c r="G132" s="22" t="inlineStr">
        <is>
          <t>-</t>
        </is>
      </c>
      <c r="H132" s="22" t="inlineStr">
        <is>
          <t>-</t>
        </is>
      </c>
      <c r="I132" s="23" t="inlineStr">
        <is>
          <t>-</t>
        </is>
      </c>
      <c r="J132" s="22" t="inlineStr">
        <is>
          <t>-</t>
        </is>
      </c>
      <c r="K132" s="38" t="inlineStr">
        <is>
          <t>This effort should be calculated by summing up all tasks/groups other than System Stabilization.</t>
        </is>
      </c>
      <c r="L132" s="22" t="n"/>
      <c r="M132" s="286">
        <f>IFERROR(OFFSET(M132,-1,,1,1)+0.1,OFFSET(M132,-1,-1,1,1)&amp;".1")</f>
        <v/>
      </c>
      <c r="N132" s="23" t="inlineStr">
        <is>
          <t>Bug fixing</t>
        </is>
      </c>
      <c r="O132" s="23" t="n"/>
      <c r="P132" s="23" t="n"/>
      <c r="Q132" s="144" t="n"/>
      <c r="R132" s="137" t="n"/>
      <c r="S132" s="169">
        <f>CEILING((IF(J132="Yes", 0, IF(H132="-",AA132,AA132+AA132*VLOOKUP(H132,BUFFERS_BY_TYPE,2,FALSE)))) +
   (IF(J132="Yes", 0, IF(H132="-",AA132,AA132+AA132*VLOOKUP(H132,BUFFERS_BY_TYPE,2,FALSE))))*VLOOKUP($S$5, SALES_CALL_SCALE_ARRAY, 2,FALSE),0.25)</f>
        <v/>
      </c>
      <c r="T132" s="170" t="n"/>
      <c r="U132" s="24" t="n">
        <v>0</v>
      </c>
      <c r="V132" s="24" t="n">
        <v>1</v>
      </c>
      <c r="W132" s="24" t="n">
        <v>0</v>
      </c>
      <c r="X132" s="168" t="n"/>
      <c r="Y132" s="169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/>
      </c>
      <c r="Z132" s="25" t="n"/>
      <c r="AA132" s="169">
        <f>Y132+Y132*VLOOKUP(I132,EXTRAS_ARRAY,2,FALSE)</f>
        <v/>
      </c>
      <c r="AB132" s="23" t="n"/>
      <c r="AC132" s="37" t="n"/>
      <c r="AD132" s="26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hidden="1" outlineLevel="2" ht="7.5" customFormat="1" customHeight="1" s="11">
      <c r="A133" s="94" t="inlineStr">
        <is>
          <t>T3</t>
        </is>
      </c>
      <c r="B133" s="18" t="n"/>
      <c r="C133" s="78" t="n"/>
      <c r="D133" s="78" t="n"/>
      <c r="E133" s="78" t="n"/>
      <c r="F133" s="78" t="n"/>
      <c r="G133" s="11" t="n"/>
      <c r="H133" s="11" t="n"/>
      <c r="I133" s="11" t="n"/>
      <c r="J133" s="11" t="n"/>
      <c r="K133" s="11" t="n"/>
      <c r="L133" s="11" t="n"/>
      <c r="M133" s="287" t="n"/>
      <c r="N133" s="11" t="n"/>
      <c r="O133" s="11" t="n"/>
      <c r="P133" s="11" t="n"/>
      <c r="Q133" s="11" t="n"/>
      <c r="R133" s="11" t="n"/>
      <c r="S133" s="11" t="n"/>
      <c r="T133" s="18" t="n"/>
      <c r="U133" s="11" t="n"/>
      <c r="V133" s="11" t="n"/>
      <c r="W133" s="11" t="n"/>
      <c r="X133" s="18" t="n"/>
      <c r="Y133" s="11" t="n"/>
      <c r="Z133" s="11" t="n"/>
      <c r="AA133" s="11" t="n"/>
      <c r="AB133" s="60" t="n"/>
      <c r="AC133" s="60" t="n"/>
      <c r="AD133" s="60" t="n"/>
    </row>
    <row r="134" hidden="1" outlineLevel="1" ht="3" customFormat="1" customHeight="1" s="11">
      <c r="A134" s="94" t="inlineStr">
        <is>
          <t>S3</t>
        </is>
      </c>
      <c r="B134" s="11" t="n"/>
      <c r="C134" s="78" t="n"/>
      <c r="D134" s="78" t="n"/>
      <c r="E134" s="78" t="n"/>
      <c r="F134" s="78" t="n"/>
      <c r="G134" s="241" t="n"/>
      <c r="H134" s="241" t="n"/>
      <c r="I134" s="241" t="n"/>
      <c r="J134" s="241" t="n"/>
      <c r="K134" s="241" t="n"/>
      <c r="L134" s="61" t="n"/>
      <c r="M134" s="288" t="n"/>
      <c r="N134" s="62" t="n"/>
      <c r="O134" s="62" t="n"/>
      <c r="P134" s="61" t="n"/>
      <c r="Q134" s="61" t="n"/>
      <c r="R134" s="61" t="n"/>
      <c r="S134" s="61" t="n"/>
      <c r="T134" s="61" t="n"/>
      <c r="U134" s="61" t="n"/>
      <c r="V134" s="61" t="n"/>
      <c r="W134" s="61" t="n"/>
      <c r="X134" s="61" t="n"/>
      <c r="Y134" s="61" t="n"/>
      <c r="Z134" s="61" t="n"/>
      <c r="AA134" s="61" t="n"/>
      <c r="AB134" s="62" t="n"/>
      <c r="AC134" s="62" t="n"/>
      <c r="AD134" s="60" t="n"/>
    </row>
    <row r="135" collapsed="1" ht="18.5" customFormat="1" customHeight="1" s="17">
      <c r="A135" s="94" t="inlineStr">
        <is>
          <t>S1</t>
        </is>
      </c>
      <c r="B135" s="15" t="n"/>
      <c r="C135" s="79" t="n"/>
      <c r="D135" s="79" t="n"/>
      <c r="E135" s="79" t="n"/>
      <c r="F135" s="78" t="n"/>
      <c r="G135" s="55" t="n"/>
      <c r="H135" s="55" t="n"/>
      <c r="I135" s="55" t="n"/>
      <c r="J135" s="55" t="n"/>
      <c r="K135" s="55" t="n"/>
      <c r="L135" s="55" t="inlineStr">
        <is>
          <t>D</t>
        </is>
      </c>
      <c r="M135" s="284" t="inlineStr">
        <is>
          <t>Phase 4: System Testing &amp; Hardening</t>
        </is>
      </c>
      <c r="N135" s="56" t="n"/>
      <c r="O135" s="57" t="n"/>
      <c r="P135" s="58" t="n"/>
      <c r="Q135" s="58" t="n"/>
      <c r="R135" s="58" t="n"/>
      <c r="S135" s="351">
        <f>CEILING(SUMIF(J136:J172, "&lt;&gt;Yes", T136:T172),1)</f>
        <v/>
      </c>
      <c r="U135" s="58" t="n"/>
      <c r="V135" s="58" t="n"/>
      <c r="W135" s="58" t="n"/>
      <c r="X135" s="58" t="n"/>
      <c r="Y135" s="58" t="n"/>
      <c r="Z135" s="58" t="n"/>
      <c r="AA135" s="58" t="n"/>
      <c r="AB135" s="58" t="n"/>
      <c r="AC135" s="58" t="n"/>
      <c r="AD135" s="16" t="n"/>
    </row>
    <row r="136" hidden="1" outlineLevel="1" ht="3" customFormat="1" customHeight="1" s="11">
      <c r="A136" s="94" t="inlineStr">
        <is>
          <t>S2</t>
        </is>
      </c>
      <c r="B136" s="18" t="n"/>
      <c r="C136" s="78" t="n"/>
      <c r="D136" s="78" t="n"/>
      <c r="E136" s="78" t="n"/>
      <c r="F136" s="78" t="n"/>
      <c r="G136" s="241" t="n"/>
      <c r="H136" s="241" t="n"/>
      <c r="I136" s="241" t="n"/>
      <c r="J136" s="241" t="n"/>
      <c r="K136" s="241" t="n"/>
      <c r="L136" s="29" t="n">
        <v>0</v>
      </c>
      <c r="M136" s="285" t="n"/>
      <c r="N136" s="241" t="n"/>
      <c r="O136" s="241" t="n"/>
      <c r="P136" s="241" t="n"/>
      <c r="Q136" s="241" t="n"/>
      <c r="R136" s="241" t="n"/>
      <c r="S136" s="241" t="n"/>
      <c r="T136" s="30" t="n"/>
      <c r="U136" s="241" t="n"/>
      <c r="V136" s="241" t="n"/>
      <c r="W136" s="241" t="n"/>
      <c r="X136" s="30" t="n"/>
      <c r="Y136" s="241" t="n"/>
      <c r="Z136" s="241" t="n"/>
      <c r="AA136" s="241" t="n"/>
      <c r="AB136" s="103" t="n"/>
      <c r="AC136" s="103" t="n"/>
      <c r="AD136" s="60" t="n"/>
    </row>
    <row r="137" hidden="1" outlineLevel="1" ht="15.5" customFormat="1" customHeight="1" s="17">
      <c r="A137" s="94" t="inlineStr">
        <is>
          <t>M</t>
        </is>
      </c>
      <c r="B137" s="21" t="n"/>
      <c r="C137" s="84" t="n"/>
      <c r="D137" s="84" t="n"/>
      <c r="E137" s="84" t="n"/>
      <c r="F137" s="83" t="n"/>
      <c r="G137" s="185" t="n"/>
      <c r="H137" s="185" t="n"/>
      <c r="I137" s="185" t="n"/>
      <c r="J137" s="185" t="n"/>
      <c r="K137" s="185" t="n"/>
      <c r="L137" s="92" t="inlineStr">
        <is>
          <t>→</t>
        </is>
      </c>
      <c r="M137" s="299" t="inlineStr">
        <is>
          <t>Team Ramp up</t>
        </is>
      </c>
      <c r="N137" s="352" t="n"/>
      <c r="O137" s="87" t="n"/>
      <c r="P137" s="88" t="n"/>
      <c r="Q137" s="88" t="n"/>
      <c r="R137" s="88" t="n"/>
      <c r="S137" s="354">
        <f>SUMGROUP(ROW(), "T")</f>
        <v/>
      </c>
      <c r="U137" s="298" t="n"/>
      <c r="V137" s="352" t="n"/>
      <c r="W137" s="352" t="n"/>
      <c r="X137" s="89" t="n"/>
      <c r="Y137" s="90" t="n"/>
      <c r="Z137" s="90" t="n"/>
      <c r="AA137" s="90" t="n"/>
      <c r="AB137" s="243" t="n"/>
      <c r="AC137" s="91" t="n"/>
      <c r="AD137" s="26">
        <f>IF(M137="", "Error: Module name cannot be empty.", "")</f>
        <v/>
      </c>
    </row>
    <row r="138" hidden="1" outlineLevel="1" collapsed="1" ht="15.5" customFormat="1" customHeight="1" s="17">
      <c r="A138" s="94" t="inlineStr">
        <is>
          <t>T1</t>
        </is>
      </c>
      <c r="B138" s="21" t="n"/>
      <c r="C138" s="84" t="n"/>
      <c r="D138" s="84" t="n"/>
      <c r="E138" s="84" t="n"/>
      <c r="F138" s="83" t="n"/>
      <c r="G138" s="32" t="n"/>
      <c r="H138" s="32" t="n"/>
      <c r="I138" s="32" t="n"/>
      <c r="J138" s="32" t="n"/>
      <c r="K138" s="32" t="n"/>
      <c r="L138" s="20">
        <f>LOOKUP(1000,INDIRECT("L1:"&amp;CELL("address",INDIRECT("R[-1]C",FALSE))))+1</f>
        <v/>
      </c>
      <c r="M138" s="301" t="inlineStr">
        <is>
          <t>Requirement Analysis and Planning</t>
        </is>
      </c>
      <c r="N138" s="352" t="n"/>
      <c r="O138" s="5" t="n"/>
      <c r="P138" s="33" t="n"/>
      <c r="Q138" s="33" t="n"/>
      <c r="R138" s="33" t="n"/>
      <c r="S138" s="33" t="n"/>
      <c r="T138" s="167">
        <f>IF($S$6="Exclude", SUMIFS(S139:S142, J139:J142, "&lt;&gt;Yes", G139:G142, "&lt;&gt;Yes"), SUMIFS(S139:S142, J139:J142, "&lt;&gt;Yes"))</f>
        <v/>
      </c>
      <c r="U138" s="33" t="n"/>
      <c r="V138" s="33" t="n"/>
      <c r="W138" s="33" t="n"/>
      <c r="X138" s="34" t="n"/>
      <c r="Y138" s="35" t="n"/>
      <c r="Z138" s="35" t="n"/>
      <c r="AA138" s="35" t="n"/>
      <c r="AB138" s="240" t="n"/>
      <c r="AC138" s="36" t="n"/>
      <c r="AD138" s="26">
        <f>IF(M138="", "Error: Task name cannot be empty.", "")</f>
        <v/>
      </c>
    </row>
    <row r="139" hidden="1" outlineLevel="2" ht="1.5" customFormat="1" customHeight="1" s="15">
      <c r="A139" s="94" t="inlineStr">
        <is>
          <t>T2</t>
        </is>
      </c>
      <c r="B139" s="21" t="n"/>
      <c r="C139" s="84" t="n"/>
      <c r="D139" s="84" t="n"/>
      <c r="E139" s="84" t="n"/>
      <c r="F139" s="83" t="n"/>
      <c r="G139" s="32" t="n"/>
      <c r="H139" s="32" t="n"/>
      <c r="I139" s="32" t="n"/>
      <c r="J139" s="32" t="n"/>
      <c r="K139" s="32" t="n"/>
      <c r="L139" s="175">
        <f>L138</f>
        <v/>
      </c>
      <c r="M139" s="176" t="inlineStr">
        <is>
          <t>X</t>
        </is>
      </c>
      <c r="N139" s="173" t="n"/>
      <c r="O139" s="174" t="n"/>
      <c r="P139" s="33" t="n"/>
      <c r="Q139" s="33" t="n"/>
      <c r="R139" s="33" t="n"/>
      <c r="S139" s="33" t="n"/>
      <c r="T139" s="167" t="n"/>
      <c r="U139" s="33" t="n"/>
      <c r="V139" s="33" t="n"/>
      <c r="W139" s="33" t="n"/>
      <c r="X139" s="34" t="n"/>
      <c r="Y139" s="35" t="n"/>
      <c r="Z139" s="35" t="n"/>
      <c r="AA139" s="35" t="n"/>
      <c r="AB139" s="36" t="n"/>
      <c r="AC139" s="36" t="n"/>
      <c r="AD139" s="26" t="n"/>
    </row>
    <row r="140" hidden="1" outlineLevel="2" ht="43.5" customHeight="1" s="232">
      <c r="A140" s="94" t="inlineStr">
        <is>
          <t>A</t>
        </is>
      </c>
      <c r="B140" s="21" t="n"/>
      <c r="C140" s="85" t="n"/>
      <c r="D140" s="85" t="n"/>
      <c r="E140" s="85" t="n"/>
      <c r="F140" s="86" t="n"/>
      <c r="G140" s="22" t="inlineStr">
        <is>
          <t>-</t>
        </is>
      </c>
      <c r="H140" s="22" t="inlineStr">
        <is>
          <t>-</t>
        </is>
      </c>
      <c r="I140" s="23" t="inlineStr">
        <is>
          <t>-</t>
        </is>
      </c>
      <c r="J140" s="22" t="inlineStr">
        <is>
          <t>-</t>
        </is>
      </c>
      <c r="K140" s="38" t="n"/>
      <c r="L140" s="22" t="n"/>
      <c r="M140" s="286">
        <f>IFERROR(OFFSET(M140,-1,,1,1)+0.1,OFFSET(M140,-1,-1,1,1)&amp;".1")</f>
        <v/>
      </c>
      <c r="N140" s="23" t="inlineStr">
        <is>
          <t>Requirement Study and Analysis</t>
        </is>
      </c>
      <c r="O140" s="23" t="n"/>
      <c r="P140" s="23" t="n"/>
      <c r="Q140" s="144" t="n"/>
      <c r="R140" s="137" t="n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/>
      </c>
      <c r="T140" s="170" t="n"/>
      <c r="U140" s="24" t="n">
        <v>0</v>
      </c>
      <c r="V140" s="24" t="n">
        <v>1</v>
      </c>
      <c r="W140" s="24" t="n">
        <v>0</v>
      </c>
      <c r="X140" s="168" t="n"/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/>
      </c>
      <c r="Z140" s="25" t="n"/>
      <c r="AA140" s="169">
        <f>Y140+Y140*VLOOKUP(I140,EXTRAS_ARRAY,2,FALSE)</f>
        <v/>
      </c>
      <c r="AB140" s="23" t="n"/>
      <c r="AC140" s="37" t="n"/>
      <c r="AD140" s="26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hidden="1" outlineLevel="2" ht="43.5" customHeight="1" s="232">
      <c r="A141" s="94" t="inlineStr">
        <is>
          <t>A</t>
        </is>
      </c>
      <c r="B141" s="21" t="n"/>
      <c r="C141" s="85" t="n"/>
      <c r="D141" s="85" t="n"/>
      <c r="E141" s="85" t="n"/>
      <c r="F141" s="86" t="n"/>
      <c r="G141" s="22" t="inlineStr">
        <is>
          <t>-</t>
        </is>
      </c>
      <c r="H141" s="22" t="inlineStr">
        <is>
          <t>-</t>
        </is>
      </c>
      <c r="I141" s="23" t="inlineStr">
        <is>
          <t>-</t>
        </is>
      </c>
      <c r="J141" s="22" t="inlineStr">
        <is>
          <t>-</t>
        </is>
      </c>
      <c r="K141" s="38" t="n"/>
      <c r="L141" s="22" t="n"/>
      <c r="M141" s="286">
        <f>IFERROR(OFFSET(M141,-1,,1,1)+0.1,OFFSET(M141,-1,-1,1,1)&amp;".1")</f>
        <v/>
      </c>
      <c r="N141" s="23" t="inlineStr">
        <is>
          <t>Test plan (API + UI) including HA/DR validation and rollback strategy</t>
        </is>
      </c>
      <c r="O141" s="23" t="n"/>
      <c r="P141" s="23" t="inlineStr">
        <is>
          <t>Total Use Cases</t>
        </is>
      </c>
      <c r="Q141" s="144">
        <f>Total_Use_Cases</f>
        <v/>
      </c>
      <c r="R141" s="137" t="n"/>
      <c r="S141" s="169">
        <f>CEILING((IF(J141="Yes", 0, IF(H141="-",AA141,AA141+AA141*VLOOKUP(H141,BUFFERS_BY_TYPE,2,FALSE)))) +
   (IF(J141="Yes", 0, IF(H141="-",AA141,AA141+AA141*VLOOKUP(H141,BUFFERS_BY_TYPE,2,FALSE))))*VLOOKUP($S$5, SALES_CALL_SCALE_ARRAY, 2,FALSE),0.25)</f>
        <v/>
      </c>
      <c r="T141" s="170" t="n"/>
      <c r="U141" s="24" t="n">
        <v>0</v>
      </c>
      <c r="V141" s="24" t="n">
        <v>1</v>
      </c>
      <c r="W141" s="24" t="n">
        <v>0</v>
      </c>
      <c r="X141" s="168" t="n"/>
      <c r="Y141" s="169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/>
      </c>
      <c r="Z141" s="25" t="n"/>
      <c r="AA141" s="169">
        <f>Y141+Y141*VLOOKUP(I141,EXTRAS_ARRAY,2,FALSE)</f>
        <v/>
      </c>
      <c r="AB141" s="23" t="n"/>
      <c r="AC141" s="37" t="n"/>
      <c r="AD141" s="26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hidden="1" outlineLevel="2" ht="7.5" customFormat="1" customHeight="1" s="11">
      <c r="A142" s="94" t="inlineStr">
        <is>
          <t>T3</t>
        </is>
      </c>
      <c r="B142" s="18" t="n"/>
      <c r="C142" s="78" t="n"/>
      <c r="D142" s="78" t="n"/>
      <c r="E142" s="78" t="n"/>
      <c r="F142" s="78" t="n"/>
      <c r="G142" s="11" t="n"/>
      <c r="H142" s="11" t="n"/>
      <c r="I142" s="11" t="n"/>
      <c r="J142" s="11" t="n"/>
      <c r="K142" s="11" t="n"/>
      <c r="L142" s="11" t="n"/>
      <c r="M142" s="287" t="n"/>
      <c r="N142" s="11" t="n"/>
      <c r="O142" s="11" t="n"/>
      <c r="P142" s="11" t="n"/>
      <c r="Q142" s="11" t="n"/>
      <c r="R142" s="11" t="n"/>
      <c r="S142" s="11" t="n"/>
      <c r="T142" s="18" t="n"/>
      <c r="U142" s="11" t="n"/>
      <c r="V142" s="11" t="n"/>
      <c r="W142" s="11" t="n"/>
      <c r="X142" s="18" t="n"/>
      <c r="Y142" s="11" t="n"/>
      <c r="Z142" s="11" t="n"/>
      <c r="AA142" s="11" t="n"/>
      <c r="AB142" s="60" t="n"/>
      <c r="AC142" s="60" t="n"/>
      <c r="AD142" s="60" t="n"/>
    </row>
    <row r="143" hidden="1" outlineLevel="1" ht="15.5" customFormat="1" customHeight="1" s="17">
      <c r="A143" s="94" t="inlineStr">
        <is>
          <t>M</t>
        </is>
      </c>
      <c r="B143" s="21" t="n"/>
      <c r="C143" s="84" t="n"/>
      <c r="D143" s="84" t="n"/>
      <c r="E143" s="84" t="n"/>
      <c r="F143" s="83" t="n"/>
      <c r="G143" s="185" t="n"/>
      <c r="H143" s="185" t="n"/>
      <c r="I143" s="185" t="n"/>
      <c r="J143" s="185" t="n"/>
      <c r="K143" s="185" t="n"/>
      <c r="L143" s="92" t="inlineStr">
        <is>
          <t>→</t>
        </is>
      </c>
      <c r="M143" s="299" t="inlineStr">
        <is>
          <t>Test Preparation</t>
        </is>
      </c>
      <c r="N143" s="352" t="n"/>
      <c r="O143" s="87" t="n"/>
      <c r="P143" s="88" t="n"/>
      <c r="Q143" s="88" t="n"/>
      <c r="R143" s="88" t="n"/>
      <c r="S143" s="354">
        <f>SUMGROUP(ROW(), "T")</f>
        <v/>
      </c>
      <c r="U143" s="298" t="n"/>
      <c r="V143" s="352" t="n"/>
      <c r="W143" s="352" t="n"/>
      <c r="X143" s="89" t="n"/>
      <c r="Y143" s="90" t="n"/>
      <c r="Z143" s="90" t="n"/>
      <c r="AA143" s="90" t="n"/>
      <c r="AB143" s="243" t="n"/>
      <c r="AC143" s="91" t="n"/>
      <c r="AD143" s="26">
        <f>IF(M143="", "Error: Module name cannot be empty.", "")</f>
        <v/>
      </c>
    </row>
    <row r="144" hidden="1" outlineLevel="1" collapsed="1" ht="15.5" customFormat="1" customHeight="1" s="17">
      <c r="A144" s="94" t="inlineStr">
        <is>
          <t>T1</t>
        </is>
      </c>
      <c r="B144" s="21" t="n"/>
      <c r="C144" s="84" t="n"/>
      <c r="D144" s="84" t="n"/>
      <c r="E144" s="84" t="n"/>
      <c r="F144" s="83" t="n"/>
      <c r="G144" s="32" t="n"/>
      <c r="H144" s="32" t="n"/>
      <c r="I144" s="32" t="n"/>
      <c r="J144" s="32" t="n"/>
      <c r="K144" s="32" t="n"/>
      <c r="L144" s="20">
        <f>LOOKUP(1000,INDIRECT("L1:"&amp;CELL("address",INDIRECT("R[-1]C",FALSE))))+1</f>
        <v/>
      </c>
      <c r="M144" s="301" t="inlineStr">
        <is>
          <t>Functional test cases preparation and review</t>
        </is>
      </c>
      <c r="N144" s="352" t="n"/>
      <c r="O144" s="5" t="n"/>
      <c r="P144" s="33" t="n"/>
      <c r="Q144" s="33" t="n"/>
      <c r="R144" s="33" t="n"/>
      <c r="S144" s="33" t="n"/>
      <c r="T144" s="167">
        <f>IF($S$6="Exclude", SUMIFS(S145:S150, J145:J150, "&lt;&gt;Yes", G145:G150, "&lt;&gt;Yes"), SUMIFS(S145:S150, J145:J150, "&lt;&gt;Yes"))</f>
        <v/>
      </c>
      <c r="U144" s="33" t="n"/>
      <c r="V144" s="33" t="n"/>
      <c r="W144" s="33" t="n"/>
      <c r="X144" s="34" t="n"/>
      <c r="Y144" s="35" t="n"/>
      <c r="Z144" s="35" t="n"/>
      <c r="AA144" s="35" t="n"/>
      <c r="AB144" s="240" t="n"/>
      <c r="AC144" s="36" t="n"/>
      <c r="AD144" s="26">
        <f>IF(M144="", "Error: Task name cannot be empty.", "")</f>
        <v/>
      </c>
    </row>
    <row r="145" hidden="1" outlineLevel="2" ht="1.5" customFormat="1" customHeight="1" s="15">
      <c r="A145" s="94" t="inlineStr">
        <is>
          <t>T2</t>
        </is>
      </c>
      <c r="B145" s="21" t="n"/>
      <c r="C145" s="84" t="n"/>
      <c r="D145" s="84" t="n"/>
      <c r="E145" s="84" t="n"/>
      <c r="F145" s="83" t="n"/>
      <c r="G145" s="32" t="n"/>
      <c r="H145" s="32" t="n"/>
      <c r="I145" s="32" t="n"/>
      <c r="J145" s="32" t="n"/>
      <c r="K145" s="32" t="n"/>
      <c r="L145" s="175">
        <f>L144</f>
        <v/>
      </c>
      <c r="M145" s="176" t="inlineStr">
        <is>
          <t>X</t>
        </is>
      </c>
      <c r="N145" s="173" t="n"/>
      <c r="O145" s="174" t="n"/>
      <c r="P145" s="33" t="n"/>
      <c r="Q145" s="33" t="n"/>
      <c r="R145" s="33" t="n"/>
      <c r="S145" s="33" t="n"/>
      <c r="T145" s="167" t="n"/>
      <c r="U145" s="33" t="n"/>
      <c r="V145" s="33" t="n"/>
      <c r="W145" s="33" t="n"/>
      <c r="X145" s="34" t="n"/>
      <c r="Y145" s="35" t="n"/>
      <c r="Z145" s="35" t="n"/>
      <c r="AA145" s="35" t="n"/>
      <c r="AB145" s="36" t="n"/>
      <c r="AC145" s="36" t="n"/>
      <c r="AD145" s="26" t="n"/>
    </row>
    <row r="146" hidden="1" outlineLevel="2" ht="43.5" customHeight="1" s="232">
      <c r="A146" s="94" t="inlineStr">
        <is>
          <t>A</t>
        </is>
      </c>
      <c r="B146" s="21" t="n"/>
      <c r="C146" s="85" t="n"/>
      <c r="D146" s="85" t="n"/>
      <c r="E146" s="85" t="n"/>
      <c r="F146" s="86" t="n"/>
      <c r="G146" s="22" t="inlineStr">
        <is>
          <t>-</t>
        </is>
      </c>
      <c r="H146" s="22" t="inlineStr">
        <is>
          <t>-</t>
        </is>
      </c>
      <c r="I146" s="23" t="inlineStr">
        <is>
          <t>-</t>
        </is>
      </c>
      <c r="J146" s="22" t="inlineStr">
        <is>
          <t>-</t>
        </is>
      </c>
      <c r="K146" s="38" t="n"/>
      <c r="L146" s="22" t="n"/>
      <c r="M146" s="286">
        <f>IFERROR(OFFSET(M146,-1,,1,1)+0.1,OFFSET(M146,-1,-1,1,1)&amp;".1")</f>
        <v/>
      </c>
      <c r="N146" s="23" t="inlineStr">
        <is>
          <t>Testing strategy and planning</t>
        </is>
      </c>
      <c r="O146" s="23" t="n"/>
      <c r="P146" s="23" t="n"/>
      <c r="Q146" s="144" t="n"/>
      <c r="R146" s="137" t="n"/>
      <c r="S146" s="169">
        <f>CEILING((IF(J146="Yes", 0, IF(H146="-",AA146,AA146+AA146*VLOOKUP(H146,BUFFERS_BY_TYPE,2,FALSE)))) +
   (IF(J146="Yes", 0, IF(H146="-",AA146,AA146+AA146*VLOOKUP(H146,BUFFERS_BY_TYPE,2,FALSE))))*VLOOKUP($S$5, SALES_CALL_SCALE_ARRAY, 2,FALSE),0.25)</f>
        <v/>
      </c>
      <c r="T146" s="170" t="n"/>
      <c r="U146" s="24" t="n">
        <v>0</v>
      </c>
      <c r="V146" s="24" t="n">
        <v>1</v>
      </c>
      <c r="W146" s="24" t="n">
        <v>0</v>
      </c>
      <c r="X146" s="168" t="n"/>
      <c r="Y146" s="169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/>
      </c>
      <c r="Z146" s="25" t="n"/>
      <c r="AA146" s="169">
        <f>Y146+Y146*VLOOKUP(I146,EXTRAS_ARRAY,2,FALSE)</f>
        <v/>
      </c>
      <c r="AB146" s="23" t="n"/>
      <c r="AC146" s="37" t="n"/>
      <c r="AD146" s="26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hidden="1" outlineLevel="2" ht="87" customHeight="1" s="232">
      <c r="A147" s="94" t="inlineStr">
        <is>
          <t>A</t>
        </is>
      </c>
      <c r="B147" s="21" t="n"/>
      <c r="C147" s="85" t="n"/>
      <c r="D147" s="85" t="n"/>
      <c r="E147" s="85" t="n"/>
      <c r="F147" s="86" t="n"/>
      <c r="G147" s="22" t="inlineStr">
        <is>
          <t>-</t>
        </is>
      </c>
      <c r="H147" s="22" t="inlineStr">
        <is>
          <t>-</t>
        </is>
      </c>
      <c r="I147" s="23" t="inlineStr">
        <is>
          <t>-</t>
        </is>
      </c>
      <c r="J147" s="22" t="inlineStr">
        <is>
          <t>-</t>
        </is>
      </c>
      <c r="K147" s="38" t="inlineStr">
        <is>
          <t>&gt;&gt; Valid only in case of mannual testing
&gt;&gt; Mutually exclusive with 5.3</t>
        </is>
      </c>
      <c r="L147" s="22" t="n"/>
      <c r="M147" s="286">
        <f>IFERROR(OFFSET(M147,-1,,1,1)+0.1,OFFSET(M147,-1,-1,1,1)&amp;".1")</f>
        <v/>
      </c>
      <c r="N147" s="23" t="inlineStr">
        <is>
          <t>Test cases preparation (Manual)
&gt;&gt; For system and integration testing</t>
        </is>
      </c>
      <c r="O147" s="23" t="inlineStr">
        <is>
          <t>Name: Total Test Cases
# : Total Use case's
xN : Test case Per Use case</t>
        </is>
      </c>
      <c r="P147" s="23">
        <f>Total_Use_Cases * R147</f>
        <v/>
      </c>
      <c r="Q147" s="144">
        <f>Total_Use_Cases</f>
        <v/>
      </c>
      <c r="R147" s="137" t="n">
        <v>5</v>
      </c>
      <c r="S147" s="169">
        <f>CEILING((IF(J147="Yes", 0, IF(H147="-",AA147,AA147+AA147*VLOOKUP(H147,BUFFERS_BY_TYPE,2,FALSE)))) +
   (IF(J147="Yes", 0, IF(H147="-",AA147,AA147+AA147*VLOOKUP(H147,BUFFERS_BY_TYPE,2,FALSE))))*VLOOKUP($S$5, SALES_CALL_SCALE_ARRAY, 2,FALSE),0.25)</f>
        <v/>
      </c>
      <c r="T147" s="170" t="n"/>
      <c r="U147" s="24" t="n">
        <v>0</v>
      </c>
      <c r="V147" s="24" t="n">
        <v>1</v>
      </c>
      <c r="W147" s="24" t="n">
        <v>0</v>
      </c>
      <c r="X147" s="168" t="n"/>
      <c r="Y147" s="169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/>
      </c>
      <c r="Z147" s="25" t="n"/>
      <c r="AA147" s="169">
        <f>Y147+Y147*VLOOKUP(I147,EXTRAS_ARRAY,2,FALSE)</f>
        <v/>
      </c>
      <c r="AB147" s="23" t="n"/>
      <c r="AC147" s="37" t="n"/>
      <c r="AD147" s="26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hidden="1" outlineLevel="2" ht="87" customHeight="1" s="232">
      <c r="A148" s="94" t="inlineStr">
        <is>
          <t>A</t>
        </is>
      </c>
      <c r="B148" s="21" t="n"/>
      <c r="C148" s="85" t="n"/>
      <c r="D148" s="85" t="n"/>
      <c r="E148" s="85" t="n"/>
      <c r="F148" s="86" t="n"/>
      <c r="G148" s="22" t="inlineStr">
        <is>
          <t>-</t>
        </is>
      </c>
      <c r="H148" s="22" t="inlineStr">
        <is>
          <t>-</t>
        </is>
      </c>
      <c r="I148" s="23" t="inlineStr">
        <is>
          <t>-</t>
        </is>
      </c>
      <c r="J148" s="22" t="inlineStr">
        <is>
          <t>-</t>
        </is>
      </c>
      <c r="K148" s="38" t="inlineStr">
        <is>
          <t>&gt;&gt; Valid only in case of automated testing
&gt;&gt; Mutually exclusive with 5.2</t>
        </is>
      </c>
      <c r="L148" s="22" t="n"/>
      <c r="M148" s="286">
        <f>IFERROR(OFFSET(M148,-1,,1,1)+0.1,OFFSET(M148,-1,-1,1,1)&amp;".1")</f>
        <v/>
      </c>
      <c r="N148" s="23" t="inlineStr">
        <is>
          <t>Test cases preparation (Automated)
&gt;&gt; Automated test scripts</t>
        </is>
      </c>
      <c r="O148" s="23" t="inlineStr">
        <is>
          <t>Name: Total Test Cases
# : Total Use case's
xN : Test case Per Use case</t>
        </is>
      </c>
      <c r="P148" s="23">
        <f>Total_Use_Cases * R148</f>
        <v/>
      </c>
      <c r="Q148" s="144">
        <f>Total_Use_Cases</f>
        <v/>
      </c>
      <c r="R148" s="137" t="n">
        <v>5</v>
      </c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/>
      </c>
      <c r="T148" s="170" t="n"/>
      <c r="U148" s="24" t="n">
        <v>0</v>
      </c>
      <c r="V148" s="24" t="n">
        <v>1</v>
      </c>
      <c r="W148" s="24" t="n">
        <v>0</v>
      </c>
      <c r="X148" s="168" t="n"/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/>
      </c>
      <c r="Z148" s="25" t="n"/>
      <c r="AA148" s="169">
        <f>Y148+Y148*VLOOKUP(I148,EXTRAS_ARRAY,2,FALSE)</f>
        <v/>
      </c>
      <c r="AB148" s="23" t="n"/>
      <c r="AC148" s="37" t="n"/>
      <c r="AD148" s="26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hidden="1" outlineLevel="2" ht="43.5" customHeight="1" s="232">
      <c r="A149" s="94" t="inlineStr">
        <is>
          <t>A</t>
        </is>
      </c>
      <c r="B149" s="21" t="n"/>
      <c r="C149" s="85" t="n"/>
      <c r="D149" s="85" t="n"/>
      <c r="E149" s="85" t="n"/>
      <c r="F149" s="86" t="n"/>
      <c r="G149" s="22" t="inlineStr">
        <is>
          <t>-</t>
        </is>
      </c>
      <c r="H149" s="22" t="inlineStr">
        <is>
          <t>-</t>
        </is>
      </c>
      <c r="I149" s="23" t="inlineStr">
        <is>
          <t>-</t>
        </is>
      </c>
      <c r="J149" s="22" t="inlineStr">
        <is>
          <t>-</t>
        </is>
      </c>
      <c r="K149" s="38" t="n"/>
      <c r="L149" s="22" t="n"/>
      <c r="M149" s="286">
        <f>IFERROR(OFFSET(M149,-1,,1,1)+0.1,OFFSET(M149,-1,-1,1,1)&amp;".1")</f>
        <v/>
      </c>
      <c r="N149" s="23" t="inlineStr">
        <is>
          <t>Review and Sign-off
&gt;&gt; Client review iterations and sign-off on test cases</t>
        </is>
      </c>
      <c r="O149" s="23" t="n"/>
      <c r="P149" s="23" t="n"/>
      <c r="Q149" s="144" t="n"/>
      <c r="R149" s="137" t="n"/>
      <c r="S149" s="169">
        <f>CEILING((IF(J149="Yes", 0, IF(H149="-",AA149,AA149+AA149*VLOOKUP(H149,BUFFERS_BY_TYPE,2,FALSE)))) +
   (IF(J149="Yes", 0, IF(H149="-",AA149,AA149+AA149*VLOOKUP(H149,BUFFERS_BY_TYPE,2,FALSE))))*VLOOKUP($S$5, SALES_CALL_SCALE_ARRAY, 2,FALSE),0.25)</f>
        <v/>
      </c>
      <c r="T149" s="170" t="n"/>
      <c r="U149" s="24" t="n">
        <v>0</v>
      </c>
      <c r="V149" s="24" t="n">
        <v>1</v>
      </c>
      <c r="W149" s="24" t="n">
        <v>0</v>
      </c>
      <c r="X149" s="168" t="n"/>
      <c r="Y149" s="169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/>
      </c>
      <c r="Z149" s="25" t="n"/>
      <c r="AA149" s="169">
        <f>Y149+Y149*VLOOKUP(I149,EXTRAS_ARRAY,2,FALSE)</f>
        <v/>
      </c>
      <c r="AB149" s="23" t="n"/>
      <c r="AC149" s="37" t="n"/>
      <c r="AD149" s="26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hidden="1" outlineLevel="2" ht="7.5" customFormat="1" customHeight="1" s="11">
      <c r="A150" s="94" t="inlineStr">
        <is>
          <t>T3</t>
        </is>
      </c>
      <c r="B150" s="18" t="n"/>
      <c r="C150" s="78" t="n"/>
      <c r="D150" s="78" t="n"/>
      <c r="E150" s="78" t="n"/>
      <c r="F150" s="78" t="n"/>
      <c r="G150" s="11" t="n"/>
      <c r="H150" s="11" t="n"/>
      <c r="I150" s="11" t="n"/>
      <c r="J150" s="11" t="n"/>
      <c r="K150" s="11" t="n"/>
      <c r="L150" s="11" t="n"/>
      <c r="M150" s="287" t="n"/>
      <c r="N150" s="11" t="n"/>
      <c r="O150" s="11" t="n"/>
      <c r="P150" s="11" t="n"/>
      <c r="Q150" s="11" t="n"/>
      <c r="R150" s="11" t="n"/>
      <c r="S150" s="11" t="n"/>
      <c r="T150" s="18" t="n"/>
      <c r="U150" s="11" t="n"/>
      <c r="V150" s="11" t="n"/>
      <c r="W150" s="11" t="n"/>
      <c r="X150" s="18" t="n"/>
      <c r="Y150" s="11" t="n"/>
      <c r="Z150" s="11" t="n"/>
      <c r="AA150" s="11" t="n"/>
      <c r="AB150" s="60" t="n"/>
      <c r="AC150" s="60" t="n"/>
      <c r="AD150" s="60" t="n"/>
    </row>
    <row r="151" hidden="1" outlineLevel="1" collapsed="1" ht="15.5" customFormat="1" customHeight="1" s="17">
      <c r="A151" s="94" t="inlineStr">
        <is>
          <t>T1</t>
        </is>
      </c>
      <c r="B151" s="21" t="n"/>
      <c r="C151" s="84" t="n"/>
      <c r="D151" s="84" t="n"/>
      <c r="E151" s="84" t="n"/>
      <c r="F151" s="83" t="n"/>
      <c r="G151" s="32" t="n"/>
      <c r="H151" s="32" t="n"/>
      <c r="I151" s="32" t="n"/>
      <c r="J151" s="32" t="n"/>
      <c r="K151" s="32" t="n"/>
      <c r="L151" s="20">
        <f>LOOKUP(1000,INDIRECT("L1:"&amp;CELL("address",INDIRECT("R[-1]C",FALSE))))+1</f>
        <v/>
      </c>
      <c r="M151" s="301" t="inlineStr">
        <is>
          <t>Functional test cases execution</t>
        </is>
      </c>
      <c r="N151" s="352" t="n"/>
      <c r="O151" s="5" t="n"/>
      <c r="P151" s="33" t="n"/>
      <c r="Q151" s="33" t="n"/>
      <c r="R151" s="33" t="n"/>
      <c r="S151" s="33" t="n"/>
      <c r="T151" s="167">
        <f>IF($S$6="Exclude", SUMIFS(S152:S155, J152:J155, "&lt;&gt;Yes", G152:G155, "&lt;&gt;Yes"), SUMIFS(S152:S155, J152:J155, "&lt;&gt;Yes"))</f>
        <v/>
      </c>
      <c r="U151" s="33" t="n"/>
      <c r="V151" s="33" t="n"/>
      <c r="W151" s="33" t="n"/>
      <c r="X151" s="34" t="n"/>
      <c r="Y151" s="35" t="n"/>
      <c r="Z151" s="35" t="n"/>
      <c r="AA151" s="35" t="n"/>
      <c r="AB151" s="240" t="n"/>
      <c r="AC151" s="36" t="n"/>
      <c r="AD151" s="26">
        <f>IF(M151="", "Error: Task name cannot be empty.", "")</f>
        <v/>
      </c>
    </row>
    <row r="152" hidden="1" outlineLevel="2" ht="1.5" customFormat="1" customHeight="1" s="15">
      <c r="A152" s="94" t="inlineStr">
        <is>
          <t>T2</t>
        </is>
      </c>
      <c r="B152" s="21" t="n"/>
      <c r="C152" s="84" t="n"/>
      <c r="D152" s="84" t="n"/>
      <c r="E152" s="84" t="n"/>
      <c r="F152" s="83" t="n"/>
      <c r="G152" s="32" t="n"/>
      <c r="H152" s="32" t="n"/>
      <c r="I152" s="32" t="n"/>
      <c r="J152" s="32" t="n"/>
      <c r="K152" s="32" t="n"/>
      <c r="L152" s="175">
        <f>L151</f>
        <v/>
      </c>
      <c r="M152" s="176" t="inlineStr">
        <is>
          <t>X</t>
        </is>
      </c>
      <c r="N152" s="173" t="n"/>
      <c r="O152" s="174" t="n"/>
      <c r="P152" s="33" t="n"/>
      <c r="Q152" s="33" t="n"/>
      <c r="R152" s="33" t="n"/>
      <c r="S152" s="33" t="n"/>
      <c r="T152" s="167" t="n"/>
      <c r="U152" s="33" t="n"/>
      <c r="V152" s="33" t="n"/>
      <c r="W152" s="33" t="n"/>
      <c r="X152" s="34" t="n"/>
      <c r="Y152" s="35" t="n"/>
      <c r="Z152" s="35" t="n"/>
      <c r="AA152" s="35" t="n"/>
      <c r="AB152" s="36" t="n"/>
      <c r="AC152" s="36" t="n"/>
      <c r="AD152" s="26" t="n"/>
    </row>
    <row r="153" hidden="1" outlineLevel="2" ht="43.5" customHeight="1" s="232">
      <c r="A153" s="94" t="inlineStr">
        <is>
          <t>A</t>
        </is>
      </c>
      <c r="B153" s="21" t="n"/>
      <c r="C153" s="85" t="n"/>
      <c r="D153" s="85" t="n"/>
      <c r="E153" s="85" t="n"/>
      <c r="F153" s="86" t="n"/>
      <c r="G153" s="22" t="inlineStr">
        <is>
          <t>-</t>
        </is>
      </c>
      <c r="H153" s="22" t="inlineStr">
        <is>
          <t>-</t>
        </is>
      </c>
      <c r="I153" s="23" t="inlineStr">
        <is>
          <t>-</t>
        </is>
      </c>
      <c r="J153" s="22" t="inlineStr">
        <is>
          <t>-</t>
        </is>
      </c>
      <c r="K153" s="38" t="n"/>
      <c r="L153" s="22" t="n"/>
      <c r="M153" s="286">
        <f>IFERROR(OFFSET(M153,-1,,1,1)+0.1,OFFSET(M153,-1,-1,1,1)&amp;".1")</f>
        <v/>
      </c>
      <c r="N153" s="23" t="inlineStr">
        <is>
          <t>Testing environment setup</t>
        </is>
      </c>
      <c r="O153" s="23" t="n"/>
      <c r="P153" s="23" t="n"/>
      <c r="Q153" s="144" t="n"/>
      <c r="R153" s="137" t="n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/>
      </c>
      <c r="T153" s="170" t="n"/>
      <c r="U153" s="24" t="n">
        <v>0</v>
      </c>
      <c r="V153" s="24" t="n">
        <v>1</v>
      </c>
      <c r="W153" s="24" t="n">
        <v>0</v>
      </c>
      <c r="X153" s="168" t="n"/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/>
      </c>
      <c r="Z153" s="25" t="n"/>
      <c r="AA153" s="169">
        <f>Y153+Y153*VLOOKUP(I153,EXTRAS_ARRAY,2,FALSE)</f>
        <v/>
      </c>
      <c r="AB153" s="23" t="n"/>
      <c r="AC153" s="37" t="n"/>
      <c r="AD153" s="26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hidden="1" outlineLevel="2" ht="43.5" customHeight="1" s="232">
      <c r="A154" s="94" t="inlineStr">
        <is>
          <t>A</t>
        </is>
      </c>
      <c r="B154" s="21" t="n"/>
      <c r="C154" s="85" t="n"/>
      <c r="D154" s="85" t="n"/>
      <c r="E154" s="85" t="n"/>
      <c r="F154" s="86" t="n"/>
      <c r="G154" s="22" t="inlineStr">
        <is>
          <t>-</t>
        </is>
      </c>
      <c r="H154" s="22" t="inlineStr">
        <is>
          <t>-</t>
        </is>
      </c>
      <c r="I154" s="23" t="inlineStr">
        <is>
          <t>-</t>
        </is>
      </c>
      <c r="J154" s="22" t="inlineStr">
        <is>
          <t>-</t>
        </is>
      </c>
      <c r="K154" s="38" t="inlineStr">
        <is>
          <t>How much percentage of test cases you are intended to execute</t>
        </is>
      </c>
      <c r="L154" s="22" t="n"/>
      <c r="M154" s="286">
        <f>IFERROR(OFFSET(M154,-1,,1,1)+0.1,OFFSET(M154,-1,-1,1,1)&amp;".1")</f>
        <v/>
      </c>
      <c r="N154" s="23" t="inlineStr">
        <is>
          <t>Test case execution
&gt;&gt; Testing, logs and reports</t>
        </is>
      </c>
      <c r="O154" s="23" t="inlineStr">
        <is>
          <t>Percentage of Test Cases</t>
        </is>
      </c>
      <c r="P154" s="274" t="n">
        <v>0.1</v>
      </c>
      <c r="Q154" s="144">
        <f>Total_Test_Cases * P154</f>
        <v/>
      </c>
      <c r="R154" s="137" t="n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/>
      </c>
      <c r="T154" s="170" t="n"/>
      <c r="U154" s="24" t="n">
        <v>0</v>
      </c>
      <c r="V154" s="24" t="n">
        <v>1</v>
      </c>
      <c r="W154" s="24" t="n">
        <v>0</v>
      </c>
      <c r="X154" s="168" t="n"/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/>
      </c>
      <c r="Z154" s="25" t="n"/>
      <c r="AA154" s="169">
        <f>Y154+Y154*VLOOKUP(I154,EXTRAS_ARRAY,2,FALSE)</f>
        <v/>
      </c>
      <c r="AB154" s="23" t="n"/>
      <c r="AC154" s="37" t="n"/>
      <c r="AD154" s="26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hidden="1" outlineLevel="2" ht="7.5" customFormat="1" customHeight="1" s="11">
      <c r="A155" s="94" t="inlineStr">
        <is>
          <t>T3</t>
        </is>
      </c>
      <c r="B155" s="18" t="n"/>
      <c r="C155" s="78" t="n"/>
      <c r="D155" s="78" t="n"/>
      <c r="E155" s="78" t="n"/>
      <c r="F155" s="78" t="n"/>
      <c r="G155" s="11" t="n"/>
      <c r="H155" s="11" t="n"/>
      <c r="I155" s="11" t="n"/>
      <c r="J155" s="11" t="n"/>
      <c r="K155" s="11" t="n"/>
      <c r="L155" s="11" t="n"/>
      <c r="M155" s="287" t="n"/>
      <c r="N155" s="11" t="n"/>
      <c r="O155" s="11" t="n"/>
      <c r="P155" s="11" t="n"/>
      <c r="Q155" s="11" t="n"/>
      <c r="R155" s="11" t="n"/>
      <c r="S155" s="11" t="n"/>
      <c r="T155" s="18" t="n"/>
      <c r="U155" s="11" t="n"/>
      <c r="V155" s="11" t="n"/>
      <c r="W155" s="11" t="n"/>
      <c r="X155" s="18" t="n"/>
      <c r="Y155" s="11" t="n"/>
      <c r="Z155" s="11" t="n"/>
      <c r="AA155" s="11" t="n"/>
      <c r="AB155" s="60" t="n"/>
      <c r="AC155" s="60" t="n"/>
      <c r="AD155" s="60" t="n"/>
    </row>
    <row r="156" hidden="1" outlineLevel="1" collapsed="1" ht="15.5" customFormat="1" customHeight="1" s="17">
      <c r="A156" s="94" t="inlineStr">
        <is>
          <t>T1</t>
        </is>
      </c>
      <c r="B156" s="21" t="n"/>
      <c r="C156" s="84" t="n"/>
      <c r="D156" s="84" t="n"/>
      <c r="E156" s="84" t="n"/>
      <c r="F156" s="83" t="n"/>
      <c r="G156" s="32" t="n"/>
      <c r="H156" s="32" t="n"/>
      <c r="I156" s="32" t="n"/>
      <c r="J156" s="32" t="n"/>
      <c r="K156" s="32" t="n"/>
      <c r="L156" s="20">
        <f>LOOKUP(1000,INDIRECT("L1:"&amp;CELL("address",INDIRECT("R[-1]C",FALSE))))+1</f>
        <v/>
      </c>
      <c r="M156" s="301" t="inlineStr">
        <is>
          <t>Performance testing for APIs (p95 latency, load, autoscaling)</t>
        </is>
      </c>
      <c r="N156" s="352" t="n"/>
      <c r="O156" s="5" t="n"/>
      <c r="P156" s="33" t="n"/>
      <c r="Q156" s="33" t="n"/>
      <c r="R156" s="33" t="n"/>
      <c r="S156" s="33" t="n"/>
      <c r="T156" s="167">
        <f>IF($S$6="Exclude", SUMIFS(S157:S162, J157:J162, "&lt;&gt;Yes", G157:G162, "&lt;&gt;Yes"), SUMIFS(S157:S162, J157:J162, "&lt;&gt;Yes"))</f>
        <v/>
      </c>
      <c r="U156" s="33" t="n"/>
      <c r="V156" s="33" t="n"/>
      <c r="W156" s="33" t="n"/>
      <c r="X156" s="34" t="n"/>
      <c r="Y156" s="35" t="n"/>
      <c r="Z156" s="35" t="n"/>
      <c r="AA156" s="35" t="n"/>
      <c r="AB156" s="240" t="n"/>
      <c r="AC156" s="36" t="n"/>
      <c r="AD156" s="26">
        <f>IF(M156="", "Error: Task name cannot be empty.", "")</f>
        <v/>
      </c>
    </row>
    <row r="157" hidden="1" outlineLevel="2" ht="1.5" customFormat="1" customHeight="1" s="15">
      <c r="A157" s="94" t="inlineStr">
        <is>
          <t>T2</t>
        </is>
      </c>
      <c r="B157" s="21" t="n"/>
      <c r="C157" s="84" t="n"/>
      <c r="D157" s="84" t="n"/>
      <c r="E157" s="84" t="n"/>
      <c r="F157" s="83" t="n"/>
      <c r="G157" s="32" t="n"/>
      <c r="H157" s="32" t="n"/>
      <c r="I157" s="32" t="n"/>
      <c r="J157" s="32" t="n"/>
      <c r="K157" s="32" t="n"/>
      <c r="L157" s="175">
        <f>L156</f>
        <v/>
      </c>
      <c r="M157" s="176" t="inlineStr">
        <is>
          <t>X</t>
        </is>
      </c>
      <c r="N157" s="173" t="n"/>
      <c r="O157" s="174" t="n"/>
      <c r="P157" s="33" t="n"/>
      <c r="Q157" s="33" t="n"/>
      <c r="R157" s="33" t="n"/>
      <c r="S157" s="33" t="n"/>
      <c r="T157" s="167" t="n"/>
      <c r="U157" s="33" t="n"/>
      <c r="V157" s="33" t="n"/>
      <c r="W157" s="33" t="n"/>
      <c r="X157" s="34" t="n"/>
      <c r="Y157" s="35" t="n"/>
      <c r="Z157" s="35" t="n"/>
      <c r="AA157" s="35" t="n"/>
      <c r="AB157" s="36" t="n"/>
      <c r="AC157" s="36" t="n"/>
      <c r="AD157" s="26" t="n"/>
    </row>
    <row r="158" hidden="1" outlineLevel="2" ht="43.5" customHeight="1" s="232">
      <c r="A158" s="94" t="inlineStr">
        <is>
          <t>A</t>
        </is>
      </c>
      <c r="B158" s="21" t="n"/>
      <c r="C158" s="85" t="n"/>
      <c r="D158" s="85" t="n"/>
      <c r="E158" s="85" t="n"/>
      <c r="F158" s="86" t="n"/>
      <c r="G158" s="22" t="inlineStr">
        <is>
          <t>-</t>
        </is>
      </c>
      <c r="H158" s="22" t="inlineStr">
        <is>
          <t>-</t>
        </is>
      </c>
      <c r="I158" s="23" t="inlineStr">
        <is>
          <t>-</t>
        </is>
      </c>
      <c r="J158" s="22" t="inlineStr">
        <is>
          <t>-</t>
        </is>
      </c>
      <c r="K158" s="38" t="n"/>
      <c r="L158" s="22" t="n"/>
      <c r="M158" s="286">
        <f>IFERROR(OFFSET(M158,-1,,1,1)+0.1,OFFSET(M158,-1,-1,1,1)&amp;".1")</f>
        <v/>
      </c>
      <c r="N158" s="23" t="inlineStr">
        <is>
          <t>Performance testing environment setup</t>
        </is>
      </c>
      <c r="O158" s="23" t="n"/>
      <c r="P158" s="23" t="inlineStr">
        <is>
          <t>Environments</t>
        </is>
      </c>
      <c r="Q158" s="144" t="n">
        <v>2</v>
      </c>
      <c r="R158" s="137" t="n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/>
      </c>
      <c r="T158" s="170" t="n"/>
      <c r="U158" s="24" t="n">
        <v>0</v>
      </c>
      <c r="V158" s="24" t="n">
        <v>1</v>
      </c>
      <c r="W158" s="24" t="n">
        <v>0</v>
      </c>
      <c r="X158" s="168" t="n"/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/>
      </c>
      <c r="Z158" s="25" t="n"/>
      <c r="AA158" s="169">
        <f>Y158+Y158*VLOOKUP(I158,EXTRAS_ARRAY,2,FALSE)</f>
        <v/>
      </c>
      <c r="AB158" s="23" t="n"/>
      <c r="AC158" s="37" t="n"/>
      <c r="AD158" s="26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hidden="1" outlineLevel="2" ht="29" customHeight="1" s="232">
      <c r="A159" s="94" t="inlineStr">
        <is>
          <t>A</t>
        </is>
      </c>
      <c r="B159" s="21" t="n"/>
      <c r="C159" s="85" t="n"/>
      <c r="D159" s="85" t="n"/>
      <c r="E159" s="85" t="n"/>
      <c r="F159" s="86" t="n"/>
      <c r="G159" s="22" t="inlineStr">
        <is>
          <t>-</t>
        </is>
      </c>
      <c r="H159" s="22" t="inlineStr">
        <is>
          <t>-</t>
        </is>
      </c>
      <c r="I159" s="23" t="inlineStr">
        <is>
          <t>-</t>
        </is>
      </c>
      <c r="J159" s="22" t="inlineStr">
        <is>
          <t>-</t>
        </is>
      </c>
      <c r="K159" s="38" t="n"/>
      <c r="L159" s="22" t="n"/>
      <c r="M159" s="286">
        <f>IFERROR(OFFSET(M159,-1,,1,1)+0.1,OFFSET(M159,-1,-1,1,1)&amp;".1")</f>
        <v/>
      </c>
      <c r="N159" s="23" t="inlineStr">
        <is>
          <t>Scripts preparation</t>
        </is>
      </c>
      <c r="O159" s="23" t="n"/>
      <c r="P159" s="23" t="inlineStr">
        <is>
          <t>Test Cases</t>
        </is>
      </c>
      <c r="Q159" s="144">
        <f>Total_Test_Cases * 15%</f>
        <v/>
      </c>
      <c r="R159" s="137" t="n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/>
      </c>
      <c r="T159" s="170" t="n"/>
      <c r="U159" s="24" t="n">
        <v>0</v>
      </c>
      <c r="V159" s="24" t="n">
        <v>1</v>
      </c>
      <c r="W159" s="24" t="n">
        <v>0</v>
      </c>
      <c r="X159" s="168">
        <f>2/8</f>
        <v/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/>
      </c>
      <c r="Z159" s="25" t="n"/>
      <c r="AA159" s="169">
        <f>Y159+Y159*VLOOKUP(I159,EXTRAS_ARRAY,2,FALSE)</f>
        <v/>
      </c>
      <c r="AB159" s="23" t="inlineStr">
        <is>
          <t>15% test cases considered for Performance testing</t>
        </is>
      </c>
      <c r="AC159" s="37" t="n"/>
      <c r="AD159" s="26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hidden="1" outlineLevel="2" ht="15.5" customHeight="1" s="232">
      <c r="A160" s="94" t="inlineStr">
        <is>
          <t>A</t>
        </is>
      </c>
      <c r="B160" s="21" t="n"/>
      <c r="C160" s="85" t="n"/>
      <c r="D160" s="85" t="n"/>
      <c r="E160" s="85" t="n"/>
      <c r="F160" s="86" t="n"/>
      <c r="G160" s="22" t="inlineStr">
        <is>
          <t>-</t>
        </is>
      </c>
      <c r="H160" s="22" t="inlineStr">
        <is>
          <t>-</t>
        </is>
      </c>
      <c r="I160" s="23" t="inlineStr">
        <is>
          <t>-</t>
        </is>
      </c>
      <c r="J160" s="22" t="inlineStr">
        <is>
          <t>-</t>
        </is>
      </c>
      <c r="K160" s="38" t="n"/>
      <c r="L160" s="22" t="n"/>
      <c r="M160" s="286">
        <f>IFERROR(OFFSET(M160,-1,,1,1)+0.1,OFFSET(M160,-1,-1,1,1)&amp;".1")</f>
        <v/>
      </c>
      <c r="N160" s="23" t="inlineStr">
        <is>
          <t>Scripts execution</t>
        </is>
      </c>
      <c r="O160" s="23" t="n"/>
      <c r="P160" s="23" t="inlineStr">
        <is>
          <t>Test Cases</t>
        </is>
      </c>
      <c r="Q160" s="144">
        <f>Total_Test_Cases * 15%</f>
        <v/>
      </c>
      <c r="R160" s="137" t="n">
        <v>3</v>
      </c>
      <c r="S160" s="169">
        <f>CEILING((IF(J160="Yes", 0, IF(H160="-",AA160,AA160+AA160*VLOOKUP(H160,BUFFERS_BY_TYPE,2,FALSE)))) +
   (IF(J160="Yes", 0, IF(H160="-",AA160,AA160+AA160*VLOOKUP(H160,BUFFERS_BY_TYPE,2,FALSE))))*VLOOKUP($S$5, SALES_CALL_SCALE_ARRAY, 2,FALSE),0.25)</f>
        <v/>
      </c>
      <c r="T160" s="170" t="n"/>
      <c r="U160" s="24" t="n">
        <v>0</v>
      </c>
      <c r="V160" s="24" t="n">
        <v>1</v>
      </c>
      <c r="W160" s="24" t="n">
        <v>0</v>
      </c>
      <c r="X160" s="168">
        <f>10/60/8</f>
        <v/>
      </c>
      <c r="Y160" s="169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/>
      </c>
      <c r="Z160" s="25" t="n"/>
      <c r="AA160" s="169">
        <f>Y160+Y160*VLOOKUP(I160,EXTRAS_ARRAY,2,FALSE)</f>
        <v/>
      </c>
      <c r="AB160" s="23" t="n"/>
      <c r="AC160" s="37" t="n"/>
      <c r="AD160" s="26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hidden="1" outlineLevel="2" ht="43.5" customHeight="1" s="232">
      <c r="A161" s="94" t="inlineStr">
        <is>
          <t>A</t>
        </is>
      </c>
      <c r="B161" s="21" t="n"/>
      <c r="C161" s="85" t="n"/>
      <c r="D161" s="85" t="n"/>
      <c r="E161" s="85" t="n"/>
      <c r="F161" s="86" t="n"/>
      <c r="G161" s="22" t="inlineStr">
        <is>
          <t>-</t>
        </is>
      </c>
      <c r="H161" s="22" t="inlineStr">
        <is>
          <t>-</t>
        </is>
      </c>
      <c r="I161" s="23" t="inlineStr">
        <is>
          <t>-</t>
        </is>
      </c>
      <c r="J161" s="22" t="inlineStr">
        <is>
          <t>-</t>
        </is>
      </c>
      <c r="K161" s="38" t="n"/>
      <c r="L161" s="22" t="n"/>
      <c r="M161" s="286">
        <f>IFERROR(OFFSET(M161,-1,,1,1)+0.1,OFFSET(M161,-1,-1,1,1)&amp;".1")</f>
        <v/>
      </c>
      <c r="N161" s="23" t="inlineStr">
        <is>
          <t>Reports preparation</t>
        </is>
      </c>
      <c r="O161" s="23" t="n"/>
      <c r="P161" s="23" t="n"/>
      <c r="Q161" s="144" t="n"/>
      <c r="R161" s="137" t="n"/>
      <c r="S161" s="169">
        <f>CEILING((IF(J161="Yes", 0, IF(H161="-",AA161,AA161+AA161*VLOOKUP(H161,BUFFERS_BY_TYPE,2,FALSE)))) +
   (IF(J161="Yes", 0, IF(H161="-",AA161,AA161+AA161*VLOOKUP(H161,BUFFERS_BY_TYPE,2,FALSE))))*VLOOKUP($S$5, SALES_CALL_SCALE_ARRAY, 2,FALSE),0.25)</f>
        <v/>
      </c>
      <c r="T161" s="170" t="n"/>
      <c r="U161" s="24" t="n">
        <v>0</v>
      </c>
      <c r="V161" s="24" t="n">
        <v>1</v>
      </c>
      <c r="W161" s="24" t="n">
        <v>0</v>
      </c>
      <c r="X161" s="168" t="n"/>
      <c r="Y161" s="169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/>
      </c>
      <c r="Z161" s="25" t="n"/>
      <c r="AA161" s="169">
        <f>Y161+Y161*VLOOKUP(I161,EXTRAS_ARRAY,2,FALSE)</f>
        <v/>
      </c>
      <c r="AB161" s="23" t="n"/>
      <c r="AC161" s="37" t="n"/>
      <c r="AD161" s="26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hidden="1" outlineLevel="2" ht="7.5" customFormat="1" customHeight="1" s="11">
      <c r="A162" s="94" t="inlineStr">
        <is>
          <t>T3</t>
        </is>
      </c>
      <c r="B162" s="18" t="n"/>
      <c r="C162" s="78" t="n"/>
      <c r="D162" s="78" t="n"/>
      <c r="E162" s="78" t="n"/>
      <c r="F162" s="78" t="n"/>
      <c r="G162" s="11" t="n"/>
      <c r="H162" s="11" t="n"/>
      <c r="I162" s="11" t="n"/>
      <c r="J162" s="11" t="n"/>
      <c r="K162" s="11" t="n"/>
      <c r="L162" s="11" t="n"/>
      <c r="M162" s="287" t="n"/>
      <c r="N162" s="11" t="n"/>
      <c r="O162" s="11" t="n"/>
      <c r="P162" s="11" t="n"/>
      <c r="Q162" s="11" t="n"/>
      <c r="R162" s="11" t="n"/>
      <c r="S162" s="11" t="n"/>
      <c r="T162" s="18" t="n"/>
      <c r="U162" s="11" t="n"/>
      <c r="V162" s="11" t="n"/>
      <c r="W162" s="11" t="n"/>
      <c r="X162" s="18" t="n"/>
      <c r="Y162" s="11" t="n"/>
      <c r="Z162" s="11" t="n"/>
      <c r="AA162" s="11" t="n"/>
      <c r="AB162" s="60" t="n"/>
      <c r="AC162" s="60" t="n"/>
      <c r="AD162" s="60" t="n"/>
    </row>
    <row r="163" hidden="1" outlineLevel="1" collapsed="1" ht="15.5" customFormat="1" customHeight="1" s="17">
      <c r="A163" s="94" t="inlineStr">
        <is>
          <t>T1</t>
        </is>
      </c>
      <c r="B163" s="21" t="n"/>
      <c r="C163" s="84" t="n"/>
      <c r="D163" s="84" t="n"/>
      <c r="E163" s="84" t="n"/>
      <c r="F163" s="83" t="n"/>
      <c r="G163" s="32" t="n"/>
      <c r="H163" s="32" t="n"/>
      <c r="I163" s="32" t="n"/>
      <c r="J163" s="32" t="n"/>
      <c r="K163" s="32" t="n"/>
      <c r="L163" s="20">
        <f>LOOKUP(1000,INDIRECT("L1:"&amp;CELL("address",INDIRECT("R[-1]C",FALSE))))+1</f>
        <v/>
      </c>
      <c r="M163" s="301" t="inlineStr">
        <is>
          <t>Other Testing</t>
        </is>
      </c>
      <c r="N163" s="352" t="n"/>
      <c r="O163" s="5" t="n"/>
      <c r="P163" s="33" t="n"/>
      <c r="Q163" s="33" t="n"/>
      <c r="R163" s="33" t="n"/>
      <c r="S163" s="33" t="n"/>
      <c r="T163" s="167">
        <f>IF($S$6="Exclude", SUMIFS(S164:S171, J164:J171, "&lt;&gt;Yes", G164:G171, "&lt;&gt;Yes"), SUMIFS(S164:S171, J164:J171, "&lt;&gt;Yes"))</f>
        <v/>
      </c>
      <c r="U163" s="33" t="n"/>
      <c r="V163" s="33" t="n"/>
      <c r="W163" s="33" t="n"/>
      <c r="X163" s="34" t="n"/>
      <c r="Y163" s="35" t="n"/>
      <c r="Z163" s="35" t="n"/>
      <c r="AA163" s="35" t="n"/>
      <c r="AB163" s="240" t="n"/>
      <c r="AC163" s="36" t="n"/>
      <c r="AD163" s="26">
        <f>IF(M163="", "Error: Task name cannot be empty.", "")</f>
        <v/>
      </c>
    </row>
    <row r="164" hidden="1" outlineLevel="2" ht="1.5" customFormat="1" customHeight="1" s="15">
      <c r="A164" s="94" t="inlineStr">
        <is>
          <t>T2</t>
        </is>
      </c>
      <c r="B164" s="21" t="n"/>
      <c r="C164" s="84" t="n"/>
      <c r="D164" s="84" t="n"/>
      <c r="E164" s="84" t="n"/>
      <c r="F164" s="83" t="n"/>
      <c r="G164" s="32" t="n"/>
      <c r="H164" s="32" t="n"/>
      <c r="I164" s="32" t="n"/>
      <c r="J164" s="32" t="n"/>
      <c r="K164" s="32" t="n"/>
      <c r="L164" s="175">
        <f>L163</f>
        <v/>
      </c>
      <c r="M164" s="176" t="inlineStr">
        <is>
          <t>X</t>
        </is>
      </c>
      <c r="N164" s="173" t="n"/>
      <c r="O164" s="174" t="n"/>
      <c r="P164" s="33" t="n"/>
      <c r="Q164" s="33" t="n"/>
      <c r="R164" s="33" t="n"/>
      <c r="S164" s="33" t="n"/>
      <c r="T164" s="167" t="n"/>
      <c r="U164" s="33" t="n"/>
      <c r="V164" s="33" t="n"/>
      <c r="W164" s="33" t="n"/>
      <c r="X164" s="34" t="n"/>
      <c r="Y164" s="35" t="n"/>
      <c r="Z164" s="35" t="n"/>
      <c r="AA164" s="35" t="n"/>
      <c r="AB164" s="36" t="n"/>
      <c r="AC164" s="36" t="n"/>
      <c r="AD164" s="26" t="n"/>
    </row>
    <row r="165" hidden="1" outlineLevel="2" ht="43.5" customHeight="1" s="232">
      <c r="A165" s="94" t="inlineStr">
        <is>
          <t>A</t>
        </is>
      </c>
      <c r="B165" s="21" t="n"/>
      <c r="C165" s="85" t="n"/>
      <c r="D165" s="85" t="n"/>
      <c r="E165" s="85" t="n"/>
      <c r="F165" s="86" t="n"/>
      <c r="G165" s="22" t="inlineStr">
        <is>
          <t>-</t>
        </is>
      </c>
      <c r="H165" s="22" t="inlineStr">
        <is>
          <t>-</t>
        </is>
      </c>
      <c r="I165" s="23" t="inlineStr">
        <is>
          <t>-</t>
        </is>
      </c>
      <c r="J165" s="22" t="inlineStr">
        <is>
          <t>-</t>
        </is>
      </c>
      <c r="K165" s="38" t="n"/>
      <c r="L165" s="22" t="n"/>
      <c r="M165" s="286">
        <f>IFERROR(OFFSET(M165,-1,,1,1)+0.1,OFFSET(M165,-1,-1,1,1)&amp;".1")</f>
        <v/>
      </c>
      <c r="N165" s="23" t="inlineStr">
        <is>
          <t>Multi-lingual testing</t>
        </is>
      </c>
      <c r="O165" s="23" t="n"/>
      <c r="P165" s="23" t="inlineStr">
        <is>
          <t>Languages
Screens</t>
        </is>
      </c>
      <c r="Q165" s="144" t="n"/>
      <c r="R165" s="137">
        <f>Total_Screens</f>
        <v/>
      </c>
      <c r="S165" s="169">
        <f>CEILING((IF(J165="Yes", 0, IF(H165="-",AA165,AA165+AA165*VLOOKUP(H165,BUFFERS_BY_TYPE,2,FALSE)))) +
   (IF(J165="Yes", 0, IF(H165="-",AA165,AA165+AA165*VLOOKUP(H165,BUFFERS_BY_TYPE,2,FALSE))))*VLOOKUP($S$5, SALES_CALL_SCALE_ARRAY, 2,FALSE),0.25)</f>
        <v/>
      </c>
      <c r="T165" s="170" t="n"/>
      <c r="U165" s="24" t="n">
        <v>0</v>
      </c>
      <c r="V165" s="24" t="n">
        <v>1</v>
      </c>
      <c r="W165" s="24" t="n">
        <v>0</v>
      </c>
      <c r="X165" s="168" t="n"/>
      <c r="Y165" s="169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/>
      </c>
      <c r="Z165" s="25" t="n"/>
      <c r="AA165" s="169">
        <f>Y165+Y165*VLOOKUP(I165,EXTRAS_ARRAY,2,FALSE)</f>
        <v/>
      </c>
      <c r="AB165" s="23" t="n"/>
      <c r="AC165" s="37" t="n"/>
      <c r="AD165" s="26">
        <f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hidden="1" outlineLevel="2" ht="43.5" customHeight="1" s="232">
      <c r="A166" s="94" t="inlineStr">
        <is>
          <t>A</t>
        </is>
      </c>
      <c r="B166" s="21" t="n"/>
      <c r="C166" s="85" t="n"/>
      <c r="D166" s="85" t="n"/>
      <c r="E166" s="85" t="n"/>
      <c r="F166" s="86" t="n"/>
      <c r="G166" s="22" t="inlineStr">
        <is>
          <t>-</t>
        </is>
      </c>
      <c r="H166" s="22" t="inlineStr">
        <is>
          <t>-</t>
        </is>
      </c>
      <c r="I166" s="23" t="inlineStr">
        <is>
          <t>-</t>
        </is>
      </c>
      <c r="J166" s="22" t="inlineStr">
        <is>
          <t>-</t>
        </is>
      </c>
      <c r="K166" s="38" t="n"/>
      <c r="L166" s="22" t="n"/>
      <c r="M166" s="286">
        <f>IFERROR(OFFSET(M166,-1,,1,1)+0.1,OFFSET(M166,-1,-1,1,1)&amp;".1")</f>
        <v/>
      </c>
      <c r="N166" s="23" t="inlineStr">
        <is>
          <t>Data migration testing</t>
        </is>
      </c>
      <c r="O166" s="23" t="n"/>
      <c r="P166" s="23" t="n"/>
      <c r="Q166" s="144" t="n"/>
      <c r="R166" s="137" t="n"/>
      <c r="S166" s="169">
        <f>CEILING((IF(J166="Yes", 0, IF(H166="-",AA166,AA166+AA166*VLOOKUP(H166,BUFFERS_BY_TYPE,2,FALSE)))) +
(IF(J166="Yes", 0, IF(H166="-",AA166,AA166+AA166*VLOOKUP(H166,BUFFERS_BY_TYPE,2,FALSE))))*VLOOKUP($S$5, SALES_CALL_SCALE_ARRAY, 2,FALSE),0.25)</f>
        <v/>
      </c>
      <c r="T166" s="170" t="n"/>
      <c r="U166" s="24" t="n">
        <v>0</v>
      </c>
      <c r="V166" s="24" t="n">
        <v>1</v>
      </c>
      <c r="W166" s="24" t="n">
        <v>0</v>
      </c>
      <c r="X166" s="168" t="n"/>
      <c r="Y166" s="169">
        <f>CEILING((IF(P166=AS_DEV_EFFORT, DEV_EFFORT*Q166%,
IF(P166=AS_DURATION_EFFORT, (MANUAL_DURATION*5)*Q166%,
(IF(Q166&lt;=1,X166,
IF(SUM(U166:W166)=0,(Q166*X166),
(((Q166*U166)*(X166+(X166*EXTRA_FOR_H)))+
((Q166*V166)*X166)+
((Q166*W166)*(X166-(X166*LESS_FOR_L)))
)*IF(R166=0,1,R166))))))+Z166), 0.25)</f>
        <v/>
      </c>
      <c r="Z166" s="25" t="n"/>
      <c r="AA166" s="169">
        <f>Y166+Y166*VLOOKUP(I166,EXTRAS_ARRAY,2,FALSE)</f>
        <v/>
      </c>
      <c r="AB166" s="23" t="n"/>
      <c r="AC166" s="37" t="n"/>
      <c r="AD166" s="26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hidden="1" outlineLevel="2" ht="43.5" customHeight="1" s="232">
      <c r="A167" s="94" t="inlineStr">
        <is>
          <t>A</t>
        </is>
      </c>
      <c r="B167" s="21" t="n"/>
      <c r="C167" s="85" t="n"/>
      <c r="D167" s="85" t="n"/>
      <c r="E167" s="85" t="n"/>
      <c r="F167" s="86" t="n"/>
      <c r="G167" s="22" t="inlineStr">
        <is>
          <t>-</t>
        </is>
      </c>
      <c r="H167" s="22" t="inlineStr">
        <is>
          <t>-</t>
        </is>
      </c>
      <c r="I167" s="23" t="inlineStr">
        <is>
          <t>-</t>
        </is>
      </c>
      <c r="J167" s="22" t="inlineStr">
        <is>
          <t>-</t>
        </is>
      </c>
      <c r="K167" s="38" t="n"/>
      <c r="L167" s="22" t="n"/>
      <c r="M167" s="286">
        <f>IFERROR(OFFSET(M167,-1,,1,1)+0.1,OFFSET(M167,-1,-1,1,1)&amp;".1")</f>
        <v/>
      </c>
      <c r="N167" s="23" t="inlineStr">
        <is>
          <t>Multi-browser testing</t>
        </is>
      </c>
      <c r="O167" s="23" t="n"/>
      <c r="P167" s="23" t="inlineStr">
        <is>
          <t>Browsers
Screens</t>
        </is>
      </c>
      <c r="Q167" s="144" t="n"/>
      <c r="R167" s="137">
        <f>Total_Screens</f>
        <v/>
      </c>
      <c r="S167" s="169">
        <f>CEILING((IF(J167="Yes", 0, IF(H167="-",AA167,AA167+AA167*VLOOKUP(H167,BUFFERS_BY_TYPE,2,FALSE)))) +
(IF(J167="Yes", 0, IF(H167="-",AA167,AA167+AA167*VLOOKUP(H167,BUFFERS_BY_TYPE,2,FALSE))))*VLOOKUP($S$5, SALES_CALL_SCALE_ARRAY, 2,FALSE),0.25)</f>
        <v/>
      </c>
      <c r="T167" s="170" t="n"/>
      <c r="U167" s="24" t="n">
        <v>0</v>
      </c>
      <c r="V167" s="24" t="n">
        <v>1</v>
      </c>
      <c r="W167" s="24" t="n">
        <v>0</v>
      </c>
      <c r="X167" s="168" t="n"/>
      <c r="Y167" s="169">
        <f>CEILING((IF(P167=AS_DEV_EFFORT, DEV_EFFORT*Q167%,
IF(P167=AS_DURATION_EFFORT, (MANUAL_DURATION*5)*Q167%,
(IF(Q167&lt;=1,X167,
IF(SUM(U167:W167)=0,(Q167*X167),
(((Q167*U167)*(X167+(X167*EXTRA_FOR_H)))+
((Q167*V167)*X167)+
((Q167*W167)*(X167-(X167*LESS_FOR_L)))
)*IF(R167=0,1,R167))))))+Z167), 0.25)</f>
        <v/>
      </c>
      <c r="Z167" s="25" t="n"/>
      <c r="AA167" s="169">
        <f>Y167+Y167*VLOOKUP(I167,EXTRAS_ARRAY,2,FALSE)</f>
        <v/>
      </c>
      <c r="AB167" s="23" t="n"/>
      <c r="AC167" s="37" t="n"/>
      <c r="AD167" s="26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hidden="1" outlineLevel="2" ht="43.5" customHeight="1" s="232">
      <c r="A168" s="94" t="inlineStr">
        <is>
          <t>A</t>
        </is>
      </c>
      <c r="B168" s="21" t="n"/>
      <c r="C168" s="85" t="n"/>
      <c r="D168" s="85" t="n"/>
      <c r="E168" s="85" t="n"/>
      <c r="F168" s="86" t="n"/>
      <c r="G168" s="22" t="inlineStr">
        <is>
          <t>-</t>
        </is>
      </c>
      <c r="H168" s="22" t="inlineStr">
        <is>
          <t>-</t>
        </is>
      </c>
      <c r="I168" s="23" t="inlineStr">
        <is>
          <t>-</t>
        </is>
      </c>
      <c r="J168" s="22" t="inlineStr">
        <is>
          <t>-</t>
        </is>
      </c>
      <c r="K168" s="38" t="n"/>
      <c r="L168" s="22" t="n"/>
      <c r="M168" s="286">
        <f>IFERROR(OFFSET(M168,-1,,1,1)+0.1,OFFSET(M168,-1,-1,1,1)&amp;".1")</f>
        <v/>
      </c>
      <c r="N168" s="23" t="inlineStr">
        <is>
          <t>Multi-device testing</t>
        </is>
      </c>
      <c r="O168" s="23" t="n"/>
      <c r="P168" s="23" t="inlineStr">
        <is>
          <t>Devices
Screens</t>
        </is>
      </c>
      <c r="Q168" s="144" t="n"/>
      <c r="R168" s="137">
        <f>Total_Screens</f>
        <v/>
      </c>
      <c r="S168" s="169">
        <f>CEILING((IF(J168="Yes", 0, IF(H168="-",AA168,AA168+AA168*VLOOKUP(H168,BUFFERS_BY_TYPE,2,FALSE)))) +
(IF(J168="Yes", 0, IF(H168="-",AA168,AA168+AA168*VLOOKUP(H168,BUFFERS_BY_TYPE,2,FALSE))))*VLOOKUP($S$5, SALES_CALL_SCALE_ARRAY, 2,FALSE),0.25)</f>
        <v/>
      </c>
      <c r="T168" s="170" t="n"/>
      <c r="U168" s="24" t="n">
        <v>0</v>
      </c>
      <c r="V168" s="24" t="n">
        <v>1</v>
      </c>
      <c r="W168" s="24" t="n">
        <v>0</v>
      </c>
      <c r="X168" s="168" t="n"/>
      <c r="Y168" s="169">
        <f>CEILING((IF(P168=AS_DEV_EFFORT, DEV_EFFORT*Q168%,
IF(P168=AS_DURATION_EFFORT, (MANUAL_DURATION*5)*Q168%,
(IF(Q168&lt;=1,X168,
IF(SUM(U168:W168)=0,(Q168*X168),
(((Q168*U168)*(X168+(X168*EXTRA_FOR_H)))+
((Q168*V168)*X168)+
((Q168*W168)*(X168-(X168*LESS_FOR_L)))
)*IF(R168=0,1,R168))))))+Z168), 0.25)</f>
        <v/>
      </c>
      <c r="Z168" s="25" t="n"/>
      <c r="AA168" s="169">
        <f>Y168+Y168*VLOOKUP(I168,EXTRAS_ARRAY,2,FALSE)</f>
        <v/>
      </c>
      <c r="AB168" s="23" t="n"/>
      <c r="AC168" s="37" t="n"/>
      <c r="AD168" s="26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hidden="1" outlineLevel="2" ht="43.5" customHeight="1" s="232">
      <c r="A169" s="94" t="inlineStr">
        <is>
          <t>A</t>
        </is>
      </c>
      <c r="B169" s="21" t="n"/>
      <c r="C169" s="85" t="n"/>
      <c r="D169" s="85" t="n"/>
      <c r="E169" s="85" t="n"/>
      <c r="F169" s="86" t="n"/>
      <c r="G169" s="22" t="inlineStr">
        <is>
          <t>Yes</t>
        </is>
      </c>
      <c r="H169" s="22" t="inlineStr">
        <is>
          <t>-</t>
        </is>
      </c>
      <c r="I169" s="23" t="inlineStr">
        <is>
          <t>-</t>
        </is>
      </c>
      <c r="J169" s="22" t="inlineStr">
        <is>
          <t>-</t>
        </is>
      </c>
      <c r="K169" s="38" t="n"/>
      <c r="L169" s="22" t="n"/>
      <c r="M169" s="286">
        <f>IFERROR(OFFSET(M169,-1,,1,1)+0.1,OFFSET(M169,-1,-1,1,1)&amp;".1")</f>
        <v/>
      </c>
      <c r="N169" s="23" t="inlineStr">
        <is>
          <t xml:space="preserve">Accessibility Testing </t>
        </is>
      </c>
      <c r="O169" s="23" t="n"/>
      <c r="P169" s="23" t="inlineStr">
        <is>
          <t>Screens</t>
        </is>
      </c>
      <c r="Q169" s="144" t="n"/>
      <c r="R169" s="137" t="n"/>
      <c r="S169" s="169">
        <f>CEILING((IF(J169="Yes", 0, IF(H169="-",AA169,AA169+AA169*VLOOKUP(H169,BUFFERS_BY_TYPE,2,FALSE)))) +
(IF(J169="Yes", 0, IF(H169="-",AA169,AA169+AA169*VLOOKUP(H169,BUFFERS_BY_TYPE,2,FALSE))))*VLOOKUP($S$5, SALES_CALL_SCALE_ARRAY, 2,FALSE),0.25)</f>
        <v/>
      </c>
      <c r="T169" s="170" t="n"/>
      <c r="U169" s="24" t="n">
        <v>0</v>
      </c>
      <c r="V169" s="24" t="n">
        <v>1</v>
      </c>
      <c r="W169" s="24" t="n">
        <v>0</v>
      </c>
      <c r="X169" s="168" t="n"/>
      <c r="Y169" s="169">
        <f>CEILING((IF(P169=AS_DEV_EFFORT, DEV_EFFORT*Q169%,
IF(P169=AS_DURATION_EFFORT, (MANUAL_DURATION*5)*Q169%,
(IF(Q169&lt;=1,X169,
IF(SUM(U169:W169)=0,(Q169*X169),
(((Q169*U169)*(X169+(X169*EXTRA_FOR_H)))+
((Q169*V169)*X169)+
((Q169*W169)*(X169-(X169*LESS_FOR_L)))
)*IF(R169=0,1,R169))))))+Z169), 0.25)</f>
        <v/>
      </c>
      <c r="Z169" s="25" t="n"/>
      <c r="AA169" s="169">
        <f>Y169+Y169*VLOOKUP(I169,EXTRAS_ARRAY,2,FALSE)</f>
        <v/>
      </c>
      <c r="AB169" s="23" t="n"/>
      <c r="AC169" s="37" t="n"/>
      <c r="AD169" s="26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hidden="1" outlineLevel="2" ht="43.5" customHeight="1" s="232">
      <c r="A170" s="94" t="inlineStr">
        <is>
          <t>A</t>
        </is>
      </c>
      <c r="B170" s="21" t="n"/>
      <c r="C170" s="85" t="n"/>
      <c r="D170" s="85" t="n"/>
      <c r="E170" s="85" t="n"/>
      <c r="F170" s="86" t="n"/>
      <c r="G170" s="22" t="inlineStr">
        <is>
          <t>Yes</t>
        </is>
      </c>
      <c r="H170" s="22" t="inlineStr">
        <is>
          <t>-</t>
        </is>
      </c>
      <c r="I170" s="23" t="inlineStr">
        <is>
          <t>-</t>
        </is>
      </c>
      <c r="J170" s="22" t="inlineStr">
        <is>
          <t>-</t>
        </is>
      </c>
      <c r="K170" s="38" t="n"/>
      <c r="L170" s="22" t="n"/>
      <c r="M170" s="286">
        <f>IFERROR(OFFSET(M170,-1,,1,1)+0.1,OFFSET(M170,-1,-1,1,1)&amp;".1")</f>
        <v/>
      </c>
      <c r="N170" s="23" t="inlineStr">
        <is>
          <t>Usability Testing</t>
        </is>
      </c>
      <c r="O170" s="23" t="n"/>
      <c r="P170" s="23" t="inlineStr">
        <is>
          <t>Screens</t>
        </is>
      </c>
      <c r="Q170" s="144" t="n"/>
      <c r="R170" s="137" t="n"/>
      <c r="S170" s="169">
        <f>CEILING((IF(J170="Yes", 0, IF(H170="-",AA170,AA170+AA170*VLOOKUP(H170,BUFFERS_BY_TYPE,2,FALSE)))) +
(IF(J170="Yes", 0, IF(H170="-",AA170,AA170+AA170*VLOOKUP(H170,BUFFERS_BY_TYPE,2,FALSE))))*VLOOKUP($S$5, SALES_CALL_SCALE_ARRAY, 2,FALSE),0.25)</f>
        <v/>
      </c>
      <c r="T170" s="170" t="n"/>
      <c r="U170" s="24" t="n">
        <v>0</v>
      </c>
      <c r="V170" s="24" t="n">
        <v>1</v>
      </c>
      <c r="W170" s="24" t="n">
        <v>0</v>
      </c>
      <c r="X170" s="168" t="n"/>
      <c r="Y170" s="169">
        <f>CEILING((IF(P170=AS_DEV_EFFORT, DEV_EFFORT*Q170%,
IF(P170=AS_DURATION_EFFORT, (MANUAL_DURATION*5)*Q170%,
(IF(Q170&lt;=1,X170,
IF(SUM(U170:W170)=0,(Q170*X170),
(((Q170*U170)*(X170+(X170*EXTRA_FOR_H)))+
((Q170*V170)*X170)+
((Q170*W170)*(X170-(X170*LESS_FOR_L)))
)*IF(R170=0,1,R170))))))+Z170), 0.25)</f>
        <v/>
      </c>
      <c r="Z170" s="25" t="n"/>
      <c r="AA170" s="169">
        <f>Y170+Y170*VLOOKUP(I170,EXTRAS_ARRAY,2,FALSE)</f>
        <v/>
      </c>
      <c r="AB170" s="23" t="n"/>
      <c r="AC170" s="37" t="n"/>
      <c r="AD170" s="26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hidden="1" outlineLevel="2" ht="7.5" customFormat="1" customHeight="1" s="11">
      <c r="A171" s="94" t="inlineStr">
        <is>
          <t>T3</t>
        </is>
      </c>
      <c r="B171" s="18" t="n"/>
      <c r="C171" s="78" t="n"/>
      <c r="D171" s="78" t="n"/>
      <c r="E171" s="78" t="n"/>
      <c r="F171" s="78" t="n"/>
      <c r="G171" s="11" t="n"/>
      <c r="H171" s="11" t="n"/>
      <c r="I171" s="11" t="n"/>
      <c r="J171" s="11" t="n"/>
      <c r="K171" s="11" t="n"/>
      <c r="L171" s="11" t="n"/>
      <c r="M171" s="287" t="n"/>
      <c r="N171" s="11" t="n"/>
      <c r="O171" s="11" t="n"/>
      <c r="P171" s="11" t="n"/>
      <c r="Q171" s="11" t="n"/>
      <c r="R171" s="11" t="n"/>
      <c r="S171" s="11" t="n"/>
      <c r="T171" s="18" t="n"/>
      <c r="U171" s="11" t="n"/>
      <c r="V171" s="11" t="n"/>
      <c r="W171" s="11" t="n"/>
      <c r="X171" s="18" t="n"/>
      <c r="Y171" s="11" t="n"/>
      <c r="Z171" s="11" t="n"/>
      <c r="AA171" s="11" t="n"/>
      <c r="AB171" s="60" t="n"/>
      <c r="AC171" s="60" t="n"/>
      <c r="AD171" s="60" t="n"/>
    </row>
    <row r="172" hidden="1" outlineLevel="1" ht="3" customFormat="1" customHeight="1" s="11">
      <c r="A172" s="94" t="inlineStr">
        <is>
          <t>S3</t>
        </is>
      </c>
      <c r="B172" s="11" t="n"/>
      <c r="C172" s="78" t="n"/>
      <c r="D172" s="78" t="n"/>
      <c r="E172" s="78" t="n"/>
      <c r="F172" s="78" t="n"/>
      <c r="G172" s="241" t="n"/>
      <c r="H172" s="241" t="n"/>
      <c r="I172" s="241" t="n"/>
      <c r="J172" s="241" t="n"/>
      <c r="K172" s="241" t="n"/>
      <c r="L172" s="61" t="n"/>
      <c r="M172" s="288" t="n"/>
      <c r="N172" s="62" t="n"/>
      <c r="O172" s="62" t="n"/>
      <c r="P172" s="61" t="n"/>
      <c r="Q172" s="61" t="n"/>
      <c r="R172" s="61" t="n"/>
      <c r="S172" s="61" t="n"/>
      <c r="T172" s="61" t="n"/>
      <c r="U172" s="61" t="n"/>
      <c r="V172" s="61" t="n"/>
      <c r="W172" s="61" t="n"/>
      <c r="X172" s="61" t="n"/>
      <c r="Y172" s="61" t="n"/>
      <c r="Z172" s="61" t="n"/>
      <c r="AA172" s="61" t="n"/>
      <c r="AB172" s="62" t="n"/>
      <c r="AC172" s="62" t="n"/>
      <c r="AD172" s="60" t="n"/>
    </row>
    <row r="173" collapsed="1" ht="18.5" customFormat="1" customHeight="1" s="17">
      <c r="A173" s="94" t="inlineStr">
        <is>
          <t>S1</t>
        </is>
      </c>
      <c r="B173" s="15" t="n"/>
      <c r="C173" s="79" t="n"/>
      <c r="D173" s="79" t="n"/>
      <c r="E173" s="79" t="n"/>
      <c r="F173" s="78" t="n"/>
      <c r="G173" s="55" t="n"/>
      <c r="H173" s="55" t="n"/>
      <c r="I173" s="55" t="n"/>
      <c r="J173" s="55" t="n"/>
      <c r="K173" s="55" t="n"/>
      <c r="L173" s="55" t="inlineStr">
        <is>
          <t>E</t>
        </is>
      </c>
      <c r="M173" s="284" t="inlineStr">
        <is>
          <t>Phase 5: Deployment, HA/DR &amp; Documentation</t>
        </is>
      </c>
      <c r="N173" s="56" t="n"/>
      <c r="O173" s="57" t="n"/>
      <c r="P173" s="58" t="n"/>
      <c r="Q173" s="58" t="n"/>
      <c r="R173" s="58" t="n"/>
      <c r="S173" s="351">
        <f>CEILING(SUMIF(J174:J195, "&lt;&gt;Yes", T174:T195),1)</f>
        <v/>
      </c>
      <c r="U173" s="58" t="n"/>
      <c r="V173" s="58" t="n"/>
      <c r="W173" s="58" t="n"/>
      <c r="X173" s="58" t="n"/>
      <c r="Y173" s="58" t="n"/>
      <c r="Z173" s="58" t="n"/>
      <c r="AA173" s="58" t="n"/>
      <c r="AB173" s="58" t="n"/>
      <c r="AC173" s="58" t="n"/>
      <c r="AD173" s="16" t="n"/>
    </row>
    <row r="174" hidden="1" outlineLevel="1" ht="3" customFormat="1" customHeight="1" s="11">
      <c r="A174" s="94" t="inlineStr">
        <is>
          <t>S2</t>
        </is>
      </c>
      <c r="B174" s="18" t="n"/>
      <c r="C174" s="78" t="n"/>
      <c r="D174" s="78" t="n"/>
      <c r="E174" s="78" t="n"/>
      <c r="F174" s="78" t="n"/>
      <c r="G174" s="241" t="n"/>
      <c r="H174" s="241" t="n"/>
      <c r="I174" s="241" t="n"/>
      <c r="J174" s="241" t="n"/>
      <c r="K174" s="241" t="n"/>
      <c r="L174" s="29" t="n">
        <v>0</v>
      </c>
      <c r="M174" s="285" t="n"/>
      <c r="N174" s="241" t="n"/>
      <c r="O174" s="241" t="n"/>
      <c r="P174" s="241" t="n"/>
      <c r="Q174" s="241" t="n"/>
      <c r="R174" s="241" t="n"/>
      <c r="S174" s="241" t="n"/>
      <c r="T174" s="30" t="n"/>
      <c r="U174" s="241" t="n"/>
      <c r="V174" s="241" t="n"/>
      <c r="W174" s="241" t="n"/>
      <c r="X174" s="30" t="n"/>
      <c r="Y174" s="241" t="n"/>
      <c r="Z174" s="241" t="n"/>
      <c r="AA174" s="241" t="n"/>
      <c r="AB174" s="103" t="n"/>
      <c r="AC174" s="103" t="n"/>
      <c r="AD174" s="60" t="n"/>
    </row>
    <row r="175" hidden="1" outlineLevel="1" collapsed="1" ht="15.5" customFormat="1" customHeight="1" s="17">
      <c r="A175" s="94" t="inlineStr">
        <is>
          <t>T1</t>
        </is>
      </c>
      <c r="B175" s="21" t="n"/>
      <c r="C175" s="84" t="n"/>
      <c r="D175" s="84" t="n"/>
      <c r="E175" s="84" t="n"/>
      <c r="F175" s="83" t="n"/>
      <c r="G175" s="32" t="n"/>
      <c r="H175" s="32" t="n"/>
      <c r="I175" s="32" t="n"/>
      <c r="J175" s="32" t="n"/>
      <c r="K175" s="32" t="n"/>
      <c r="L175" s="20">
        <f>LOOKUP(1000,INDIRECT("L1:"&amp;CELL("address",INDIRECT("R[-1]C",FALSE))))+1</f>
        <v/>
      </c>
      <c r="M175" s="301" t="inlineStr">
        <is>
          <t>Staging releases (partial)</t>
        </is>
      </c>
      <c r="N175" s="352" t="n"/>
      <c r="O175" s="5" t="n"/>
      <c r="P175" s="33" t="n"/>
      <c r="Q175" s="33" t="n"/>
      <c r="R175" s="33" t="n"/>
      <c r="S175" s="33" t="n"/>
      <c r="T175" s="167">
        <f>IF($S$6="Exclude", SUMIFS(S176:S179, J176:J179, "&lt;&gt;Yes", G176:G179, "&lt;&gt;Yes"), SUMIFS(S176:S179, J176:J179, "&lt;&gt;Yes"))</f>
        <v/>
      </c>
      <c r="U175" s="33" t="n"/>
      <c r="V175" s="33" t="n"/>
      <c r="W175" s="33" t="n"/>
      <c r="X175" s="34" t="n"/>
      <c r="Y175" s="35" t="n"/>
      <c r="Z175" s="35" t="n"/>
      <c r="AA175" s="35" t="n"/>
      <c r="AB175" s="240" t="n"/>
      <c r="AC175" s="36" t="n"/>
      <c r="AD175" s="26">
        <f>IF(M175="", "Error: Task name cannot be empty.", "")</f>
        <v/>
      </c>
    </row>
    <row r="176" hidden="1" outlineLevel="2" ht="1.5" customFormat="1" customHeight="1" s="15">
      <c r="A176" s="94" t="inlineStr">
        <is>
          <t>T2</t>
        </is>
      </c>
      <c r="B176" s="21" t="n"/>
      <c r="C176" s="84" t="n"/>
      <c r="D176" s="84" t="n"/>
      <c r="E176" s="84" t="n"/>
      <c r="F176" s="83" t="n"/>
      <c r="G176" s="32" t="n"/>
      <c r="H176" s="32" t="n"/>
      <c r="I176" s="32" t="n"/>
      <c r="J176" s="32" t="n"/>
      <c r="K176" s="32" t="n"/>
      <c r="L176" s="175">
        <f>L175</f>
        <v/>
      </c>
      <c r="M176" s="176" t="inlineStr">
        <is>
          <t>X</t>
        </is>
      </c>
      <c r="N176" s="173" t="n"/>
      <c r="O176" s="174" t="n"/>
      <c r="P176" s="33" t="n"/>
      <c r="Q176" s="33" t="n"/>
      <c r="R176" s="33" t="n"/>
      <c r="S176" s="33" t="n"/>
      <c r="T176" s="167" t="n"/>
      <c r="U176" s="33" t="n"/>
      <c r="V176" s="33" t="n"/>
      <c r="W176" s="33" t="n"/>
      <c r="X176" s="34" t="n"/>
      <c r="Y176" s="35" t="n"/>
      <c r="Z176" s="35" t="n"/>
      <c r="AA176" s="35" t="n"/>
      <c r="AB176" s="36" t="n"/>
      <c r="AC176" s="36" t="n"/>
      <c r="AD176" s="26" t="n"/>
    </row>
    <row r="177" hidden="1" outlineLevel="2" ht="43.5" customHeight="1" s="232">
      <c r="A177" s="94" t="inlineStr">
        <is>
          <t>A</t>
        </is>
      </c>
      <c r="B177" s="21" t="n"/>
      <c r="C177" s="85" t="n"/>
      <c r="D177" s="85" t="n"/>
      <c r="E177" s="85" t="n"/>
      <c r="F177" s="86" t="n"/>
      <c r="G177" s="22" t="inlineStr">
        <is>
          <t>-</t>
        </is>
      </c>
      <c r="H177" s="22" t="inlineStr">
        <is>
          <t>-</t>
        </is>
      </c>
      <c r="I177" s="23" t="inlineStr">
        <is>
          <t>-</t>
        </is>
      </c>
      <c r="J177" s="22" t="inlineStr">
        <is>
          <t>-</t>
        </is>
      </c>
      <c r="K177" s="38" t="n"/>
      <c r="L177" s="22" t="n"/>
      <c r="M177" s="286">
        <f>IFERROR(OFFSET(M177,-1,,1,1)+0.1,OFFSET(M177,-1,-1,1,1)&amp;".1")</f>
        <v/>
      </c>
      <c r="N177" s="23" t="inlineStr">
        <is>
          <t>Interim demos</t>
        </is>
      </c>
      <c r="O177" s="23" t="n"/>
      <c r="P177" s="23" t="inlineStr">
        <is>
          <t>Demos</t>
        </is>
      </c>
      <c r="Q177" s="144" t="n">
        <v>10</v>
      </c>
      <c r="R177" s="137" t="n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/>
      </c>
      <c r="T177" s="170" t="n"/>
      <c r="U177" s="24" t="n">
        <v>0</v>
      </c>
      <c r="V177" s="24" t="n">
        <v>1</v>
      </c>
      <c r="W177" s="24" t="n">
        <v>0</v>
      </c>
      <c r="X177" s="168" t="n"/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/>
      </c>
      <c r="Z177" s="25" t="n"/>
      <c r="AA177" s="169">
        <f>Y177+Y177*VLOOKUP(I177,EXTRAS_ARRAY,2,FALSE)</f>
        <v/>
      </c>
      <c r="AB177" s="23" t="n"/>
      <c r="AC177" s="37" t="n"/>
      <c r="AD177" s="26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hidden="1" outlineLevel="2" ht="43.5" customHeight="1" s="232">
      <c r="A178" s="94" t="inlineStr">
        <is>
          <t>A</t>
        </is>
      </c>
      <c r="B178" s="21" t="n"/>
      <c r="C178" s="85" t="n"/>
      <c r="D178" s="85" t="n"/>
      <c r="E178" s="85" t="n"/>
      <c r="F178" s="86" t="n"/>
      <c r="G178" s="22" t="inlineStr">
        <is>
          <t>-</t>
        </is>
      </c>
      <c r="H178" s="22" t="inlineStr">
        <is>
          <t>-</t>
        </is>
      </c>
      <c r="I178" s="23" t="inlineStr">
        <is>
          <t>-</t>
        </is>
      </c>
      <c r="J178" s="22" t="inlineStr">
        <is>
          <t>-</t>
        </is>
      </c>
      <c r="K178" s="38" t="n"/>
      <c r="L178" s="22" t="n"/>
      <c r="M178" s="286">
        <f>IFERROR(OFFSET(M178,-1,,1,1)+0.1,OFFSET(M178,-1,-1,1,1)&amp;".1")</f>
        <v/>
      </c>
      <c r="N178" s="23" t="inlineStr">
        <is>
          <t>Interim staging releases
&gt;&gt; Preparation of release notes, installer, builds, etc.</t>
        </is>
      </c>
      <c r="O178" s="23" t="n"/>
      <c r="P178" s="23" t="inlineStr">
        <is>
          <t>Releases</t>
        </is>
      </c>
      <c r="Q178" s="144" t="n">
        <v>5</v>
      </c>
      <c r="R178" s="137" t="n"/>
      <c r="S178" s="169">
        <f>CEILING((IF(J178="Yes", 0, IF(H178="-",AA178,AA178+AA178*VLOOKUP(H178,BUFFERS_BY_TYPE,2,FALSE)))) +
   (IF(J178="Yes", 0, IF(H178="-",AA178,AA178+AA178*VLOOKUP(H178,BUFFERS_BY_TYPE,2,FALSE))))*VLOOKUP($S$5, SALES_CALL_SCALE_ARRAY, 2,FALSE),0.25)</f>
        <v/>
      </c>
      <c r="T178" s="170" t="n"/>
      <c r="U178" s="24" t="n">
        <v>0</v>
      </c>
      <c r="V178" s="24" t="n">
        <v>1</v>
      </c>
      <c r="W178" s="24" t="n">
        <v>0</v>
      </c>
      <c r="X178" s="168" t="n"/>
      <c r="Y178" s="169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/>
      </c>
      <c r="Z178" s="25" t="n"/>
      <c r="AA178" s="169">
        <f>Y178+Y178*VLOOKUP(I178,EXTRAS_ARRAY,2,FALSE)</f>
        <v/>
      </c>
      <c r="AB178" s="23" t="n"/>
      <c r="AC178" s="37" t="n"/>
      <c r="AD178" s="26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hidden="1" outlineLevel="2" ht="7.5" customFormat="1" customHeight="1" s="11">
      <c r="A179" s="94" t="inlineStr">
        <is>
          <t>T3</t>
        </is>
      </c>
      <c r="B179" s="18" t="n"/>
      <c r="C179" s="78" t="n"/>
      <c r="D179" s="78" t="n"/>
      <c r="E179" s="78" t="n"/>
      <c r="F179" s="78" t="n"/>
      <c r="G179" s="11" t="n"/>
      <c r="H179" s="11" t="n"/>
      <c r="I179" s="11" t="n"/>
      <c r="J179" s="11" t="n"/>
      <c r="K179" s="11" t="n"/>
      <c r="L179" s="11" t="n"/>
      <c r="M179" s="287" t="n"/>
      <c r="N179" s="11" t="n"/>
      <c r="O179" s="11" t="n"/>
      <c r="P179" s="11" t="n"/>
      <c r="Q179" s="11" t="n"/>
      <c r="R179" s="11" t="n"/>
      <c r="S179" s="11" t="n"/>
      <c r="T179" s="18" t="n"/>
      <c r="U179" s="11" t="n"/>
      <c r="V179" s="11" t="n"/>
      <c r="W179" s="11" t="n"/>
      <c r="X179" s="18" t="n"/>
      <c r="Y179" s="11" t="n"/>
      <c r="Z179" s="11" t="n"/>
      <c r="AA179" s="11" t="n"/>
      <c r="AB179" s="60" t="n"/>
      <c r="AC179" s="60" t="n"/>
      <c r="AD179" s="60" t="n"/>
    </row>
    <row r="180" hidden="1" outlineLevel="1" collapsed="1" ht="15.5" customFormat="1" customHeight="1" s="17">
      <c r="A180" s="94" t="inlineStr">
        <is>
          <t>T1</t>
        </is>
      </c>
      <c r="B180" s="21" t="n"/>
      <c r="C180" s="84" t="n"/>
      <c r="D180" s="84" t="n"/>
      <c r="E180" s="84" t="n"/>
      <c r="F180" s="83" t="n"/>
      <c r="G180" s="32" t="n"/>
      <c r="H180" s="32" t="n"/>
      <c r="I180" s="32" t="n"/>
      <c r="J180" s="32" t="n"/>
      <c r="K180" s="32" t="n"/>
      <c r="L180" s="20">
        <f>LOOKUP(1000,INDIRECT("L1:"&amp;CELL("address",INDIRECT("R[-1]C",FALSE))))+1</f>
        <v/>
      </c>
      <c r="M180" s="301" t="inlineStr">
        <is>
          <t>UAT Release (Full)</t>
        </is>
      </c>
      <c r="N180" s="352" t="n"/>
      <c r="O180" s="5" t="n"/>
      <c r="P180" s="33" t="n"/>
      <c r="Q180" s="33" t="n"/>
      <c r="R180" s="33" t="n"/>
      <c r="S180" s="33" t="n"/>
      <c r="T180" s="167">
        <f>IF($S$6="Exclude", SUMIFS(S181:S183, J181:J183, "&lt;&gt;Yes", G181:G183, "&lt;&gt;Yes"), SUMIFS(S181:S183, J181:J183, "&lt;&gt;Yes"))</f>
        <v/>
      </c>
      <c r="U180" s="33" t="n"/>
      <c r="V180" s="33" t="n"/>
      <c r="W180" s="33" t="n"/>
      <c r="X180" s="34" t="n"/>
      <c r="Y180" s="35" t="n"/>
      <c r="Z180" s="35" t="n"/>
      <c r="AA180" s="35" t="n"/>
      <c r="AB180" s="240" t="n"/>
      <c r="AC180" s="36" t="n"/>
      <c r="AD180" s="26">
        <f>IF(M180="", "Error: Task name cannot be empty.", "")</f>
        <v/>
      </c>
    </row>
    <row r="181" hidden="1" outlineLevel="2" ht="1.5" customFormat="1" customHeight="1" s="15">
      <c r="A181" s="94" t="inlineStr">
        <is>
          <t>T2</t>
        </is>
      </c>
      <c r="B181" s="21" t="n"/>
      <c r="C181" s="84" t="n"/>
      <c r="D181" s="84" t="n"/>
      <c r="E181" s="84" t="n"/>
      <c r="F181" s="83" t="n"/>
      <c r="G181" s="32" t="n"/>
      <c r="H181" s="32" t="n"/>
      <c r="I181" s="32" t="n"/>
      <c r="J181" s="32" t="n"/>
      <c r="K181" s="32" t="n"/>
      <c r="L181" s="175">
        <f>L180</f>
        <v/>
      </c>
      <c r="M181" s="176" t="inlineStr">
        <is>
          <t>X</t>
        </is>
      </c>
      <c r="N181" s="173" t="n"/>
      <c r="O181" s="174" t="n"/>
      <c r="P181" s="33" t="n"/>
      <c r="Q181" s="33" t="n"/>
      <c r="R181" s="33" t="n"/>
      <c r="S181" s="33" t="n"/>
      <c r="T181" s="167" t="n"/>
      <c r="U181" s="33" t="n"/>
      <c r="V181" s="33" t="n"/>
      <c r="W181" s="33" t="n"/>
      <c r="X181" s="34" t="n"/>
      <c r="Y181" s="35" t="n"/>
      <c r="Z181" s="35" t="n"/>
      <c r="AA181" s="35" t="n"/>
      <c r="AB181" s="36" t="n"/>
      <c r="AC181" s="36" t="n"/>
      <c r="AD181" s="26" t="n"/>
    </row>
    <row r="182" hidden="1" outlineLevel="2" ht="58" customHeight="1" s="232">
      <c r="A182" s="94" t="inlineStr">
        <is>
          <t>A</t>
        </is>
      </c>
      <c r="B182" s="21" t="n"/>
      <c r="C182" s="85" t="n"/>
      <c r="D182" s="85" t="n"/>
      <c r="E182" s="85" t="n"/>
      <c r="F182" s="86" t="n"/>
      <c r="G182" s="22" t="inlineStr">
        <is>
          <t>-</t>
        </is>
      </c>
      <c r="H182" s="22" t="inlineStr">
        <is>
          <t>-</t>
        </is>
      </c>
      <c r="I182" s="23" t="inlineStr">
        <is>
          <t>-</t>
        </is>
      </c>
      <c r="J182" s="22" t="inlineStr">
        <is>
          <t>-</t>
        </is>
      </c>
      <c r="K182" s="38" t="n"/>
      <c r="L182" s="22" t="n"/>
      <c r="M182" s="286">
        <f>IFERROR(OFFSET(M182,-1,,1,1)+0.1,OFFSET(M182,-1,-1,1,1)&amp;".1")</f>
        <v/>
      </c>
      <c r="N182" s="23" t="inlineStr">
        <is>
          <t>UAT release
&gt;&gt; Preparation of release notes, installer, builds, etc.
&gt;&gt; UNIT: Total No. of Resources x N UAT cycle</t>
        </is>
      </c>
      <c r="O182" s="23" t="n"/>
      <c r="P182" s="23" t="inlineStr">
        <is>
          <t>Resources
Weeks</t>
        </is>
      </c>
      <c r="Q182" s="144" t="n">
        <v>2</v>
      </c>
      <c r="R182" s="137" t="n">
        <v>4</v>
      </c>
      <c r="S182" s="169">
        <f>CEILING((IF(J182="Yes", 0, IF(H182="-",AA182,AA182+AA182*VLOOKUP(H182,BUFFERS_BY_TYPE,2,FALSE)))) +
   (IF(J182="Yes", 0, IF(H182="-",AA182,AA182+AA182*VLOOKUP(H182,BUFFERS_BY_TYPE,2,FALSE))))*VLOOKUP($S$5, SALES_CALL_SCALE_ARRAY, 2,FALSE),0.25)</f>
        <v/>
      </c>
      <c r="T182" s="170" t="n"/>
      <c r="U182" s="24" t="n">
        <v>0</v>
      </c>
      <c r="V182" s="24" t="n">
        <v>1</v>
      </c>
      <c r="W182" s="24" t="n">
        <v>0</v>
      </c>
      <c r="X182" s="168" t="n">
        <v>5</v>
      </c>
      <c r="Y182" s="169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/>
      </c>
      <c r="Z182" s="25" t="n"/>
      <c r="AA182" s="169">
        <f>Y182+Y182*VLOOKUP(I182,EXTRAS_ARRAY,2,FALSE)</f>
        <v/>
      </c>
      <c r="AB182" s="23" t="inlineStr">
        <is>
          <t>2 Resources for 4 weeks of 5 days each.</t>
        </is>
      </c>
      <c r="AC182" s="37" t="n"/>
      <c r="AD182" s="26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hidden="1" outlineLevel="2" ht="7.5" customFormat="1" customHeight="1" s="11">
      <c r="A183" s="94" t="inlineStr">
        <is>
          <t>T3</t>
        </is>
      </c>
      <c r="B183" s="18" t="n"/>
      <c r="C183" s="78" t="n"/>
      <c r="D183" s="78" t="n"/>
      <c r="E183" s="78" t="n"/>
      <c r="F183" s="78" t="n"/>
      <c r="G183" s="11" t="n"/>
      <c r="H183" s="11" t="n"/>
      <c r="I183" s="11" t="n"/>
      <c r="J183" s="11" t="n"/>
      <c r="K183" s="11" t="n"/>
      <c r="L183" s="11" t="n"/>
      <c r="M183" s="287" t="n"/>
      <c r="N183" s="11" t="n"/>
      <c r="O183" s="11" t="n"/>
      <c r="P183" s="11" t="n"/>
      <c r="Q183" s="11" t="n"/>
      <c r="R183" s="11" t="n"/>
      <c r="S183" s="11" t="n"/>
      <c r="T183" s="18" t="n"/>
      <c r="U183" s="11" t="n"/>
      <c r="V183" s="11" t="n"/>
      <c r="W183" s="11" t="n"/>
      <c r="X183" s="18" t="n"/>
      <c r="Y183" s="11" t="n"/>
      <c r="Z183" s="11" t="n"/>
      <c r="AA183" s="11" t="n"/>
      <c r="AB183" s="60" t="n"/>
      <c r="AC183" s="60" t="n"/>
      <c r="AD183" s="60" t="n"/>
    </row>
    <row r="184" hidden="1" outlineLevel="1" collapsed="1" ht="15.5" customFormat="1" customHeight="1" s="17">
      <c r="A184" s="94" t="inlineStr">
        <is>
          <t>T1</t>
        </is>
      </c>
      <c r="B184" s="21" t="n"/>
      <c r="C184" s="84" t="n"/>
      <c r="D184" s="84" t="n"/>
      <c r="E184" s="84" t="n"/>
      <c r="F184" s="83" t="n"/>
      <c r="G184" s="32" t="n"/>
      <c r="H184" s="32" t="n"/>
      <c r="I184" s="32" t="n"/>
      <c r="J184" s="32" t="n"/>
      <c r="K184" s="32" t="n"/>
      <c r="L184" s="20">
        <f>LOOKUP(1000,INDIRECT("L1:"&amp;CELL("address",INDIRECT("R[-1]C",FALSE))))+1</f>
        <v/>
      </c>
      <c r="M184" s="301" t="inlineStr">
        <is>
          <t>Production Release (Full)</t>
        </is>
      </c>
      <c r="N184" s="352" t="n"/>
      <c r="O184" s="5" t="n"/>
      <c r="P184" s="33" t="n"/>
      <c r="Q184" s="33" t="n"/>
      <c r="R184" s="33" t="n"/>
      <c r="S184" s="33" t="n"/>
      <c r="T184" s="167">
        <f>IF($S$6="Exclude", SUMIFS(S185:S187, J185:J187, "&lt;&gt;Yes", G185:G187, "&lt;&gt;Yes"), SUMIFS(S185:S187, J185:J187, "&lt;&gt;Yes"))</f>
        <v/>
      </c>
      <c r="U184" s="33" t="n"/>
      <c r="V184" s="33" t="n"/>
      <c r="W184" s="33" t="n"/>
      <c r="X184" s="34" t="n"/>
      <c r="Y184" s="35" t="n"/>
      <c r="Z184" s="35" t="n"/>
      <c r="AA184" s="35" t="n"/>
      <c r="AB184" s="240" t="n"/>
      <c r="AC184" s="36" t="n"/>
      <c r="AD184" s="26">
        <f>IF(M184="", "Error: Task name cannot be empty.", "")</f>
        <v/>
      </c>
    </row>
    <row r="185" hidden="1" outlineLevel="2" ht="1.5" customFormat="1" customHeight="1" s="15">
      <c r="A185" s="94" t="inlineStr">
        <is>
          <t>T2</t>
        </is>
      </c>
      <c r="B185" s="21" t="n"/>
      <c r="C185" s="84" t="n"/>
      <c r="D185" s="84" t="n"/>
      <c r="E185" s="84" t="n"/>
      <c r="F185" s="83" t="n"/>
      <c r="G185" s="32" t="n"/>
      <c r="H185" s="32" t="n"/>
      <c r="I185" s="32" t="n"/>
      <c r="J185" s="32" t="n"/>
      <c r="K185" s="32" t="n"/>
      <c r="L185" s="175">
        <f>L184</f>
        <v/>
      </c>
      <c r="M185" s="176" t="inlineStr">
        <is>
          <t>X</t>
        </is>
      </c>
      <c r="N185" s="173" t="n"/>
      <c r="O185" s="174" t="n"/>
      <c r="P185" s="33" t="n"/>
      <c r="Q185" s="33" t="n"/>
      <c r="R185" s="33" t="n"/>
      <c r="S185" s="33" t="n"/>
      <c r="T185" s="167" t="n"/>
      <c r="U185" s="33" t="n"/>
      <c r="V185" s="33" t="n"/>
      <c r="W185" s="33" t="n"/>
      <c r="X185" s="34" t="n"/>
      <c r="Y185" s="35" t="n"/>
      <c r="Z185" s="35" t="n"/>
      <c r="AA185" s="35" t="n"/>
      <c r="AB185" s="36" t="n"/>
      <c r="AC185" s="36" t="n"/>
      <c r="AD185" s="26" t="n"/>
    </row>
    <row r="186" hidden="1" outlineLevel="2" ht="43.5" customHeight="1" s="232">
      <c r="A186" s="94" t="inlineStr">
        <is>
          <t>A</t>
        </is>
      </c>
      <c r="B186" s="21" t="n"/>
      <c r="C186" s="85" t="n"/>
      <c r="D186" s="85" t="n"/>
      <c r="E186" s="85" t="n"/>
      <c r="F186" s="86" t="n"/>
      <c r="G186" s="22" t="inlineStr">
        <is>
          <t>-</t>
        </is>
      </c>
      <c r="H186" s="22" t="inlineStr">
        <is>
          <t>-</t>
        </is>
      </c>
      <c r="I186" s="23" t="inlineStr">
        <is>
          <t>-</t>
        </is>
      </c>
      <c r="J186" s="22" t="inlineStr">
        <is>
          <t>-</t>
        </is>
      </c>
      <c r="K186" s="38" t="n"/>
      <c r="L186" s="22" t="n"/>
      <c r="M186" s="286">
        <f>IFERROR(OFFSET(M186,-1,,1,1)+0.1,OFFSET(M186,-1,-1,1,1)&amp;".1")</f>
        <v/>
      </c>
      <c r="N186" s="23" t="inlineStr">
        <is>
          <t>Final production release
&gt;&gt; Preparation of release notes, installer, builds, etc.</t>
        </is>
      </c>
      <c r="O186" s="23" t="n"/>
      <c r="P186" s="23" t="inlineStr">
        <is>
          <t>Resources
Weeks</t>
        </is>
      </c>
      <c r="Q186" s="144" t="n">
        <v>1</v>
      </c>
      <c r="R186" s="137" t="n">
        <v>2</v>
      </c>
      <c r="S186" s="169">
        <f>CEILING((IF(J186="Yes", 0, IF(H186="-",AA186,AA186+AA186*VLOOKUP(H186,BUFFERS_BY_TYPE,2,FALSE)))) +
   (IF(J186="Yes", 0, IF(H186="-",AA186,AA186+AA186*VLOOKUP(H186,BUFFERS_BY_TYPE,2,FALSE))))*VLOOKUP($S$5, SALES_CALL_SCALE_ARRAY, 2,FALSE),0.25)</f>
        <v/>
      </c>
      <c r="T186" s="170" t="n"/>
      <c r="U186" s="24" t="n">
        <v>0</v>
      </c>
      <c r="V186" s="24" t="n">
        <v>1</v>
      </c>
      <c r="W186" s="24" t="n">
        <v>0</v>
      </c>
      <c r="X186" s="168" t="n">
        <v>5</v>
      </c>
      <c r="Y186" s="169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/>
      </c>
      <c r="Z186" s="25" t="n"/>
      <c r="AA186" s="169">
        <f>Y186+Y186*VLOOKUP(I186,EXTRAS_ARRAY,2,FALSE)</f>
        <v/>
      </c>
      <c r="AB186" s="23" t="inlineStr">
        <is>
          <t>1 Resource for 2 weeks of 5 days each.</t>
        </is>
      </c>
      <c r="AC186" s="37" t="n"/>
      <c r="AD186" s="26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hidden="1" outlineLevel="2" ht="7.5" customFormat="1" customHeight="1" s="11">
      <c r="A187" s="94" t="inlineStr">
        <is>
          <t>T3</t>
        </is>
      </c>
      <c r="B187" s="18" t="n"/>
      <c r="C187" s="78" t="n"/>
      <c r="D187" s="78" t="n"/>
      <c r="E187" s="78" t="n"/>
      <c r="F187" s="78" t="n"/>
      <c r="G187" s="11" t="n"/>
      <c r="H187" s="11" t="n"/>
      <c r="I187" s="11" t="n"/>
      <c r="J187" s="11" t="n"/>
      <c r="K187" s="11" t="n"/>
      <c r="L187" s="11" t="n"/>
      <c r="M187" s="287" t="n"/>
      <c r="N187" s="11" t="n"/>
      <c r="O187" s="11" t="n"/>
      <c r="P187" s="11" t="n"/>
      <c r="Q187" s="11" t="n"/>
      <c r="R187" s="11" t="n"/>
      <c r="S187" s="11" t="n"/>
      <c r="T187" s="18" t="n"/>
      <c r="U187" s="11" t="n"/>
      <c r="V187" s="11" t="n"/>
      <c r="W187" s="11" t="n"/>
      <c r="X187" s="18" t="n"/>
      <c r="Y187" s="11" t="n"/>
      <c r="Z187" s="11" t="n"/>
      <c r="AA187" s="11" t="n"/>
      <c r="AB187" s="60" t="n"/>
      <c r="AC187" s="60" t="n"/>
      <c r="AD187" s="60" t="n"/>
    </row>
    <row r="188" hidden="1" outlineLevel="1" collapsed="1" ht="15.5" customFormat="1" customHeight="1" s="17">
      <c r="A188" s="94" t="inlineStr">
        <is>
          <t>T1</t>
        </is>
      </c>
      <c r="B188" s="21" t="n"/>
      <c r="C188" s="84" t="n"/>
      <c r="D188" s="84" t="n"/>
      <c r="E188" s="84" t="n"/>
      <c r="F188" s="83" t="n"/>
      <c r="G188" s="32" t="n"/>
      <c r="H188" s="32" t="n"/>
      <c r="I188" s="32" t="n"/>
      <c r="J188" s="32" t="n"/>
      <c r="K188" s="32" t="n"/>
      <c r="L188" s="20">
        <f>LOOKUP(1000,INDIRECT("L1:"&amp;CELL("address",INDIRECT("R[-1]C",FALSE))))+1</f>
        <v/>
      </c>
      <c r="M188" s="301" t="inlineStr">
        <is>
          <t>Documentation and training</t>
        </is>
      </c>
      <c r="N188" s="352" t="n"/>
      <c r="O188" s="5" t="n"/>
      <c r="P188" s="33" t="n"/>
      <c r="Q188" s="33" t="n"/>
      <c r="R188" s="33" t="n"/>
      <c r="S188" s="33" t="n"/>
      <c r="T188" s="167">
        <f>IF($S$6="Exclude", SUMIFS(S189:S194, J189:J194, "&lt;&gt;Yes", G189:G194, "&lt;&gt;Yes"), SUMIFS(S189:S194, J189:J194, "&lt;&gt;Yes"))</f>
        <v/>
      </c>
      <c r="U188" s="33" t="n"/>
      <c r="V188" s="33" t="n"/>
      <c r="W188" s="33" t="n"/>
      <c r="X188" s="34" t="n"/>
      <c r="Y188" s="35" t="n"/>
      <c r="Z188" s="35" t="n"/>
      <c r="AA188" s="35" t="n"/>
      <c r="AB188" s="240" t="n"/>
      <c r="AC188" s="36" t="n"/>
      <c r="AD188" s="26">
        <f>IF(M188="", "Error: Task name cannot be empty.", "")</f>
        <v/>
      </c>
    </row>
    <row r="189" hidden="1" outlineLevel="2" ht="1.5" customFormat="1" customHeight="1" s="15">
      <c r="A189" s="94" t="inlineStr">
        <is>
          <t>T2</t>
        </is>
      </c>
      <c r="B189" s="21" t="n"/>
      <c r="C189" s="84" t="n"/>
      <c r="D189" s="84" t="n"/>
      <c r="E189" s="84" t="n"/>
      <c r="F189" s="83" t="n"/>
      <c r="G189" s="32" t="n"/>
      <c r="H189" s="32" t="n"/>
      <c r="I189" s="32" t="n"/>
      <c r="J189" s="32" t="n"/>
      <c r="K189" s="32" t="n"/>
      <c r="L189" s="175">
        <f>L188</f>
        <v/>
      </c>
      <c r="M189" s="176" t="inlineStr">
        <is>
          <t>X</t>
        </is>
      </c>
      <c r="N189" s="173" t="n"/>
      <c r="O189" s="174" t="n"/>
      <c r="P189" s="33" t="n"/>
      <c r="Q189" s="33" t="n"/>
      <c r="R189" s="33" t="n"/>
      <c r="S189" s="33" t="n"/>
      <c r="T189" s="167" t="n"/>
      <c r="U189" s="33" t="n"/>
      <c r="V189" s="33" t="n"/>
      <c r="W189" s="33" t="n"/>
      <c r="X189" s="34" t="n"/>
      <c r="Y189" s="35" t="n"/>
      <c r="Z189" s="35" t="n"/>
      <c r="AA189" s="35" t="n"/>
      <c r="AB189" s="36" t="n"/>
      <c r="AC189" s="36" t="n"/>
      <c r="AD189" s="26" t="n"/>
    </row>
    <row r="190" hidden="1" outlineLevel="2" ht="43.5" customHeight="1" s="232">
      <c r="A190" s="94" t="inlineStr">
        <is>
          <t>A</t>
        </is>
      </c>
      <c r="B190" s="21" t="n"/>
      <c r="C190" s="85" t="n"/>
      <c r="D190" s="85" t="n"/>
      <c r="E190" s="85" t="n"/>
      <c r="F190" s="86" t="n"/>
      <c r="G190" s="22" t="inlineStr">
        <is>
          <t>-</t>
        </is>
      </c>
      <c r="H190" s="22" t="inlineStr">
        <is>
          <t>-</t>
        </is>
      </c>
      <c r="I190" s="23" t="inlineStr">
        <is>
          <t>-</t>
        </is>
      </c>
      <c r="J190" s="22" t="inlineStr">
        <is>
          <t>-</t>
        </is>
      </c>
      <c r="K190" s="38" t="n"/>
      <c r="L190" s="22" t="n"/>
      <c r="M190" s="286">
        <f>IFERROR(OFFSET(M190,-1,,1,1)+0.1,OFFSET(M190,-1,-1,1,1)&amp;".1")</f>
        <v/>
      </c>
      <c r="N190" s="23" t="inlineStr">
        <is>
          <t>Runbooks: deployment, rollback, incident response, DR failover/failback</t>
        </is>
      </c>
      <c r="O190" s="23" t="n"/>
      <c r="P190" s="23" t="n"/>
      <c r="Q190" s="144" t="n"/>
      <c r="R190" s="137" t="n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/>
      </c>
      <c r="T190" s="170" t="n"/>
      <c r="U190" s="24" t="n">
        <v>0</v>
      </c>
      <c r="V190" s="24" t="n">
        <v>1</v>
      </c>
      <c r="W190" s="24" t="n">
        <v>0</v>
      </c>
      <c r="X190" s="168" t="n"/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/>
      </c>
      <c r="Z190" s="25" t="n"/>
      <c r="AA190" s="169">
        <f>Y190+Y190*VLOOKUP(I190,EXTRAS_ARRAY,2,FALSE)</f>
        <v/>
      </c>
      <c r="AB190" s="23" t="n"/>
      <c r="AC190" s="37" t="n"/>
      <c r="AD190" s="26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hidden="1" outlineLevel="2" ht="43.5" customHeight="1" s="232">
      <c r="A191" s="94" t="inlineStr">
        <is>
          <t>A</t>
        </is>
      </c>
      <c r="B191" s="21" t="n"/>
      <c r="C191" s="85" t="n"/>
      <c r="D191" s="85" t="n"/>
      <c r="E191" s="85" t="n"/>
      <c r="F191" s="86" t="n"/>
      <c r="G191" s="22" t="inlineStr">
        <is>
          <t>-</t>
        </is>
      </c>
      <c r="H191" s="22" t="inlineStr">
        <is>
          <t>-</t>
        </is>
      </c>
      <c r="I191" s="23" t="inlineStr">
        <is>
          <t>-</t>
        </is>
      </c>
      <c r="J191" s="22" t="inlineStr">
        <is>
          <t>-</t>
        </is>
      </c>
      <c r="K191" s="38" t="n"/>
      <c r="L191" s="22" t="n"/>
      <c r="M191" s="286">
        <f>IFERROR(OFFSET(M191,-1,,1,1)+0.1,OFFSET(M191,-1,-1,1,1)&amp;".1")</f>
        <v/>
      </c>
      <c r="N191" s="23" t="inlineStr">
        <is>
          <t>CI/CD + release process documentation (Docker Hub images, K8s apply, env config)</t>
        </is>
      </c>
      <c r="O191" s="23" t="n"/>
      <c r="P191" s="23" t="n"/>
      <c r="Q191" s="144" t="n"/>
      <c r="R191" s="137" t="n"/>
      <c r="S191" s="169">
        <f>CEILING((IF(J191="Yes", 0, IF(H191="-",AA191,AA191+AA191*VLOOKUP(H191,BUFFERS_BY_TYPE,2,FALSE)))) +
   (IF(J191="Yes", 0, IF(H191="-",AA191,AA191+AA191*VLOOKUP(H191,BUFFERS_BY_TYPE,2,FALSE))))*VLOOKUP($S$5, SALES_CALL_SCALE_ARRAY, 2,FALSE),0.25)</f>
        <v/>
      </c>
      <c r="T191" s="170" t="n"/>
      <c r="U191" s="24" t="n">
        <v>0</v>
      </c>
      <c r="V191" s="24" t="n">
        <v>1</v>
      </c>
      <c r="W191" s="24" t="n">
        <v>0</v>
      </c>
      <c r="X191" s="168" t="n"/>
      <c r="Y191" s="169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/>
      </c>
      <c r="Z191" s="25" t="n"/>
      <c r="AA191" s="169">
        <f>Y191+Y191*VLOOKUP(I191,EXTRAS_ARRAY,2,FALSE)</f>
        <v/>
      </c>
      <c r="AB191" s="23" t="n"/>
      <c r="AC191" s="37" t="n"/>
      <c r="AD191" s="26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hidden="1" outlineLevel="2" ht="43.5" customHeight="1" s="232">
      <c r="A192" s="94" t="inlineStr">
        <is>
          <t>A</t>
        </is>
      </c>
      <c r="B192" s="21" t="n"/>
      <c r="C192" s="85" t="n"/>
      <c r="D192" s="85" t="n"/>
      <c r="E192" s="85" t="n"/>
      <c r="F192" s="86" t="n"/>
      <c r="G192" s="22" t="inlineStr">
        <is>
          <t>-</t>
        </is>
      </c>
      <c r="H192" s="22" t="inlineStr">
        <is>
          <t>-</t>
        </is>
      </c>
      <c r="I192" s="23" t="inlineStr">
        <is>
          <t>-</t>
        </is>
      </c>
      <c r="J192" s="22" t="inlineStr">
        <is>
          <t>-</t>
        </is>
      </c>
      <c r="K192" s="38" t="n"/>
      <c r="L192" s="22" t="n"/>
      <c r="M192" s="286">
        <f>IFERROR(OFFSET(M192,-1,,1,1)+0.1,OFFSET(M192,-1,-1,1,1)&amp;".1")</f>
        <v/>
      </c>
      <c r="N192" s="23" t="inlineStr">
        <is>
          <t>Operational docs: monitoring/alerts dashboards, logs/tracing, troubleshooting guide</t>
        </is>
      </c>
      <c r="O192" s="23" t="n"/>
      <c r="P192" s="23" t="n"/>
      <c r="Q192" s="144" t="n"/>
      <c r="R192" s="137" t="n"/>
      <c r="S192" s="169">
        <f>CEILING((IF(J192="Yes", 0, IF(H192="-",AA192,AA192+AA192*VLOOKUP(H192,BUFFERS_BY_TYPE,2,FALSE)))) +
   (IF(J192="Yes", 0, IF(H192="-",AA192,AA192+AA192*VLOOKUP(H192,BUFFERS_BY_TYPE,2,FALSE))))*VLOOKUP($S$5, SALES_CALL_SCALE_ARRAY, 2,FALSE),0.25)</f>
        <v/>
      </c>
      <c r="T192" s="170" t="n"/>
      <c r="U192" s="24" t="n">
        <v>0</v>
      </c>
      <c r="V192" s="24" t="n">
        <v>1</v>
      </c>
      <c r="W192" s="24" t="n">
        <v>0</v>
      </c>
      <c r="X192" s="168" t="n"/>
      <c r="Y192" s="169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/>
      </c>
      <c r="Z192" s="25" t="n"/>
      <c r="AA192" s="169">
        <f>Y192+Y192*VLOOKUP(I192,EXTRAS_ARRAY,2,FALSE)</f>
        <v/>
      </c>
      <c r="AB192" s="23" t="n"/>
      <c r="AC192" s="37" t="n"/>
      <c r="AD192" s="26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hidden="1" outlineLevel="2" ht="43.5" customHeight="1" s="232">
      <c r="A193" s="94" t="inlineStr">
        <is>
          <t>A</t>
        </is>
      </c>
      <c r="B193" s="21" t="n"/>
      <c r="C193" s="85" t="n"/>
      <c r="D193" s="85" t="n"/>
      <c r="E193" s="85" t="n"/>
      <c r="F193" s="86" t="n"/>
      <c r="G193" s="22" t="inlineStr">
        <is>
          <t>-</t>
        </is>
      </c>
      <c r="H193" s="22" t="inlineStr">
        <is>
          <t>-</t>
        </is>
      </c>
      <c r="I193" s="23" t="inlineStr">
        <is>
          <t>-</t>
        </is>
      </c>
      <c r="J193" s="22" t="inlineStr">
        <is>
          <t>-</t>
        </is>
      </c>
      <c r="K193" s="38" t="n"/>
      <c r="L193" s="22" t="n"/>
      <c r="M193" s="286">
        <f>IFERROR(OFFSET(M193,-1,,1,1)+0.1,OFFSET(M193,-1,-1,1,1)&amp;".1")</f>
        <v/>
      </c>
      <c r="N193" s="23" t="inlineStr">
        <is>
          <t>Train the trainer sessions</t>
        </is>
      </c>
      <c r="O193" s="23" t="n"/>
      <c r="P193" s="23" t="n"/>
      <c r="Q193" s="144" t="n"/>
      <c r="R193" s="137" t="n"/>
      <c r="S193" s="169">
        <f>CEILING((IF(J193="Yes", 0, IF(H193="-",AA193,AA193+AA193*VLOOKUP(H193,BUFFERS_BY_TYPE,2,FALSE)))) +
   (IF(J193="Yes", 0, IF(H193="-",AA193,AA193+AA193*VLOOKUP(H193,BUFFERS_BY_TYPE,2,FALSE))))*VLOOKUP($S$5, SALES_CALL_SCALE_ARRAY, 2,FALSE),0.25)</f>
        <v/>
      </c>
      <c r="T193" s="170" t="n"/>
      <c r="U193" s="24" t="n">
        <v>0</v>
      </c>
      <c r="V193" s="24" t="n">
        <v>1</v>
      </c>
      <c r="W193" s="24" t="n">
        <v>0</v>
      </c>
      <c r="X193" s="168" t="n"/>
      <c r="Y193" s="169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/>
      </c>
      <c r="Z193" s="25" t="n"/>
      <c r="AA193" s="169">
        <f>Y193+Y193*VLOOKUP(I193,EXTRAS_ARRAY,2,FALSE)</f>
        <v/>
      </c>
      <c r="AB193" s="23" t="n"/>
      <c r="AC193" s="37" t="n"/>
      <c r="AD193" s="26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hidden="1" outlineLevel="2" ht="7.5" customFormat="1" customHeight="1" s="11">
      <c r="A194" s="94" t="inlineStr">
        <is>
          <t>T3</t>
        </is>
      </c>
      <c r="B194" s="18" t="n"/>
      <c r="C194" s="78" t="n"/>
      <c r="D194" s="78" t="n"/>
      <c r="E194" s="78" t="n"/>
      <c r="F194" s="78" t="n"/>
      <c r="G194" s="11" t="n"/>
      <c r="H194" s="11" t="n"/>
      <c r="I194" s="11" t="n"/>
      <c r="J194" s="11" t="n"/>
      <c r="K194" s="11" t="n"/>
      <c r="L194" s="11" t="n"/>
      <c r="M194" s="287" t="n"/>
      <c r="N194" s="11" t="n"/>
      <c r="O194" s="11" t="n"/>
      <c r="P194" s="11" t="n"/>
      <c r="Q194" s="11" t="n"/>
      <c r="R194" s="11" t="n"/>
      <c r="S194" s="11" t="n"/>
      <c r="T194" s="18" t="n"/>
      <c r="U194" s="11" t="n"/>
      <c r="V194" s="11" t="n"/>
      <c r="W194" s="11" t="n"/>
      <c r="X194" s="18" t="n"/>
      <c r="Y194" s="11" t="n"/>
      <c r="Z194" s="11" t="n"/>
      <c r="AA194" s="11" t="n"/>
      <c r="AB194" s="60" t="n"/>
      <c r="AC194" s="60" t="n"/>
      <c r="AD194" s="60" t="n"/>
    </row>
    <row r="195" hidden="1" outlineLevel="1" ht="3" customFormat="1" customHeight="1" s="11">
      <c r="A195" s="94" t="inlineStr">
        <is>
          <t>S3</t>
        </is>
      </c>
      <c r="B195" s="11" t="n"/>
      <c r="C195" s="78" t="n"/>
      <c r="D195" s="78" t="n"/>
      <c r="E195" s="78" t="n"/>
      <c r="F195" s="78" t="n"/>
      <c r="G195" s="241" t="n"/>
      <c r="H195" s="241" t="n"/>
      <c r="I195" s="241" t="n"/>
      <c r="J195" s="241" t="n"/>
      <c r="K195" s="241" t="n"/>
      <c r="L195" s="61" t="n"/>
      <c r="M195" s="288" t="n"/>
      <c r="N195" s="62" t="n"/>
      <c r="O195" s="62" t="n"/>
      <c r="P195" s="61" t="n"/>
      <c r="Q195" s="61" t="n"/>
      <c r="R195" s="61" t="n"/>
      <c r="S195" s="61" t="n"/>
      <c r="T195" s="61" t="n"/>
      <c r="U195" s="61" t="n"/>
      <c r="V195" s="61" t="n"/>
      <c r="W195" s="61" t="n"/>
      <c r="X195" s="61" t="n"/>
      <c r="Y195" s="61" t="n"/>
      <c r="Z195" s="61" t="n"/>
      <c r="AA195" s="61" t="n"/>
      <c r="AB195" s="62" t="n"/>
      <c r="AC195" s="62" t="n"/>
      <c r="AD195" s="60" t="n"/>
    </row>
    <row r="196" collapsed="1" ht="18.5" customFormat="1" customHeight="1" s="17">
      <c r="A196" s="94" t="inlineStr">
        <is>
          <t>S1</t>
        </is>
      </c>
      <c r="B196" s="15" t="n"/>
      <c r="C196" s="79" t="n"/>
      <c r="D196" s="79" t="n"/>
      <c r="E196" s="79" t="n"/>
      <c r="F196" s="78" t="n"/>
      <c r="G196" s="55" t="n"/>
      <c r="H196" s="55" t="n"/>
      <c r="I196" s="55" t="n"/>
      <c r="J196" s="55" t="n"/>
      <c r="K196" s="55" t="n"/>
      <c r="L196" s="55" t="inlineStr">
        <is>
          <t>F</t>
        </is>
      </c>
      <c r="M196" s="284" t="inlineStr">
        <is>
          <t>Phase 6: Program Management &amp; Support</t>
        </is>
      </c>
      <c r="N196" s="56" t="n"/>
      <c r="O196" s="57" t="n"/>
      <c r="P196" s="58" t="n"/>
      <c r="Q196" s="58" t="n"/>
      <c r="R196" s="58" t="n"/>
      <c r="S196" s="355">
        <f>CEILING(SUMIF(J197:J202, "&lt;&gt;Yes", T197:T202),1)</f>
        <v/>
      </c>
      <c r="U196" s="58" t="n"/>
      <c r="V196" s="58" t="n"/>
      <c r="W196" s="58" t="n"/>
      <c r="X196" s="58" t="n"/>
      <c r="Y196" s="58" t="n"/>
      <c r="Z196" s="58" t="n"/>
      <c r="AA196" s="58" t="n"/>
      <c r="AB196" s="58" t="n"/>
      <c r="AC196" s="58" t="n"/>
      <c r="AD196" s="16" t="n"/>
    </row>
    <row r="197" hidden="1" outlineLevel="1" ht="3" customFormat="1" customHeight="1" s="11">
      <c r="A197" s="94" t="inlineStr">
        <is>
          <t>S2</t>
        </is>
      </c>
      <c r="B197" s="18" t="n"/>
      <c r="C197" s="78" t="n"/>
      <c r="D197" s="78" t="n"/>
      <c r="E197" s="78" t="n"/>
      <c r="F197" s="78" t="n"/>
      <c r="G197" s="241" t="n"/>
      <c r="H197" s="241" t="n"/>
      <c r="I197" s="241" t="n"/>
      <c r="J197" s="241" t="n"/>
      <c r="K197" s="241" t="n"/>
      <c r="L197" s="29" t="n">
        <v>0</v>
      </c>
      <c r="M197" s="285" t="n"/>
      <c r="N197" s="241" t="n"/>
      <c r="O197" s="241" t="n"/>
      <c r="P197" s="241" t="n"/>
      <c r="Q197" s="241" t="n"/>
      <c r="R197" s="241" t="n"/>
      <c r="S197" s="241" t="n"/>
      <c r="T197" s="30" t="n"/>
      <c r="U197" s="241" t="n"/>
      <c r="V197" s="241" t="n"/>
      <c r="W197" s="241" t="n"/>
      <c r="X197" s="30" t="n"/>
      <c r="Y197" s="241" t="n"/>
      <c r="Z197" s="241" t="n"/>
      <c r="AA197" s="241" t="n"/>
      <c r="AB197" s="103" t="n"/>
      <c r="AC197" s="103" t="n"/>
      <c r="AD197" s="60" t="n"/>
    </row>
    <row r="198" hidden="1" outlineLevel="1" collapsed="1" ht="15.5" customFormat="1" customHeight="1" s="17">
      <c r="A198" s="94" t="inlineStr">
        <is>
          <t>T1</t>
        </is>
      </c>
      <c r="B198" s="21" t="n"/>
      <c r="C198" s="84" t="n"/>
      <c r="D198" s="84" t="n"/>
      <c r="E198" s="84" t="n"/>
      <c r="F198" s="83" t="n"/>
      <c r="G198" s="32" t="n"/>
      <c r="H198" s="32" t="n"/>
      <c r="I198" s="32" t="n"/>
      <c r="J198" s="32" t="n"/>
      <c r="K198" s="32" t="n"/>
      <c r="L198" s="20">
        <f>LOOKUP(1000,INDIRECT("L1:"&amp;CELL("address",INDIRECT("R[-1]C",FALSE))))+1</f>
        <v/>
      </c>
      <c r="M198" s="301" t="inlineStr">
        <is>
          <t>PM Effort</t>
        </is>
      </c>
      <c r="N198" s="352" t="n"/>
      <c r="O198" s="5" t="n"/>
      <c r="P198" s="33" t="n"/>
      <c r="Q198" s="33" t="n"/>
      <c r="R198" s="33" t="n"/>
      <c r="S198" s="33" t="n"/>
      <c r="T198" s="167">
        <f>IF($S$6="Exclude", SUMIFS(S199:S201, J199:J201, "&lt;&gt;Yes", G199:G201, "&lt;&gt;Yes"), SUMIFS(S199:S201, J199:J201, "&lt;&gt;Yes"))</f>
        <v/>
      </c>
      <c r="U198" s="33" t="n"/>
      <c r="V198" s="33" t="n"/>
      <c r="W198" s="33" t="n"/>
      <c r="X198" s="34" t="n"/>
      <c r="Y198" s="35" t="n"/>
      <c r="Z198" s="35" t="n"/>
      <c r="AA198" s="35" t="n"/>
      <c r="AB198" s="240" t="n"/>
      <c r="AC198" s="36" t="n"/>
      <c r="AD198" s="26">
        <f>IF(M198="", "Error: Task name cannot be empty.", "")</f>
        <v/>
      </c>
    </row>
    <row r="199" hidden="1" outlineLevel="2" ht="1.5" customFormat="1" customHeight="1" s="15">
      <c r="A199" s="94" t="inlineStr">
        <is>
          <t>T2</t>
        </is>
      </c>
      <c r="B199" s="21" t="n"/>
      <c r="C199" s="84" t="n"/>
      <c r="D199" s="84" t="n"/>
      <c r="E199" s="84" t="n"/>
      <c r="F199" s="83" t="n"/>
      <c r="G199" s="32" t="n"/>
      <c r="H199" s="32" t="n"/>
      <c r="I199" s="32" t="n"/>
      <c r="J199" s="32" t="n"/>
      <c r="K199" s="32" t="n"/>
      <c r="L199" s="175">
        <f>L198</f>
        <v/>
      </c>
      <c r="M199" s="176" t="inlineStr">
        <is>
          <t>X</t>
        </is>
      </c>
      <c r="N199" s="173" t="n"/>
      <c r="O199" s="174" t="n"/>
      <c r="P199" s="33" t="n"/>
      <c r="Q199" s="33" t="n"/>
      <c r="R199" s="33" t="n"/>
      <c r="S199" s="33" t="n"/>
      <c r="T199" s="167" t="n"/>
      <c r="U199" s="33" t="n"/>
      <c r="V199" s="33" t="n"/>
      <c r="W199" s="33" t="n"/>
      <c r="X199" s="34" t="n"/>
      <c r="Y199" s="35" t="n"/>
      <c r="Z199" s="35" t="n"/>
      <c r="AA199" s="35" t="n"/>
      <c r="AB199" s="36" t="n"/>
      <c r="AC199" s="36" t="n"/>
      <c r="AD199" s="26" t="n"/>
    </row>
    <row r="200" hidden="1" outlineLevel="2" ht="15.5" customHeight="1" s="232">
      <c r="A200" s="94" t="inlineStr">
        <is>
          <t>A</t>
        </is>
      </c>
      <c r="B200" s="21" t="n"/>
      <c r="C200" s="85" t="n"/>
      <c r="D200" s="85" t="n"/>
      <c r="E200" s="85" t="n"/>
      <c r="F200" s="86" t="n"/>
      <c r="G200" s="22" t="inlineStr">
        <is>
          <t>-</t>
        </is>
      </c>
      <c r="H200" s="22" t="inlineStr">
        <is>
          <t>-</t>
        </is>
      </c>
      <c r="I200" s="23" t="inlineStr">
        <is>
          <t>-</t>
        </is>
      </c>
      <c r="J200" s="22" t="inlineStr">
        <is>
          <t>-</t>
        </is>
      </c>
      <c r="K200" s="38" t="n"/>
      <c r="L200" s="22" t="n"/>
      <c r="M200" s="286">
        <f>IFERROR(OFFSET(M200,-1,,1,1)+0.1,OFFSET(M200,-1,-1,1,1)&amp;".1")</f>
        <v/>
      </c>
      <c r="N200" s="23" t="inlineStr">
        <is>
          <t>Project management effort</t>
        </is>
      </c>
      <c r="O200" s="23" t="inlineStr">
        <is>
          <t>Percentage</t>
        </is>
      </c>
      <c r="P200" s="274" t="n">
        <v>0.1</v>
      </c>
      <c r="Q200" s="144" t="n"/>
      <c r="R200" s="137" t="n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/>
      </c>
      <c r="T200" s="170" t="n"/>
      <c r="U200" s="24" t="n">
        <v>0</v>
      </c>
      <c r="V200" s="24" t="n">
        <v>1</v>
      </c>
      <c r="W200" s="24" t="n">
        <v>0</v>
      </c>
      <c r="X200" s="168">
        <f>(REQ_EFFORT+DESIGN_EFFORT+DEV_EFFORT+QA_EFFORT+UAT_EFFORT) * P200</f>
        <v/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/>
      </c>
      <c r="Z200" s="25" t="n"/>
      <c r="AA200" s="169">
        <f>Y200+Y200*VLOOKUP(I200,EXTRAS_ARRAY,2,FALSE)</f>
        <v/>
      </c>
      <c r="AB200" s="23" t="n"/>
      <c r="AC200" s="37" t="n"/>
      <c r="AD200" s="26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hidden="1" outlineLevel="2" ht="7.5" customFormat="1" customHeight="1" s="11">
      <c r="A201" s="94" t="inlineStr">
        <is>
          <t>T3</t>
        </is>
      </c>
      <c r="B201" s="18" t="n"/>
      <c r="C201" s="78" t="n"/>
      <c r="D201" s="78" t="n"/>
      <c r="E201" s="78" t="n"/>
      <c r="F201" s="78" t="n"/>
      <c r="G201" s="11" t="n"/>
      <c r="H201" s="11" t="n"/>
      <c r="I201" s="11" t="n"/>
      <c r="J201" s="11" t="n"/>
      <c r="K201" s="11" t="n"/>
      <c r="L201" s="11" t="n"/>
      <c r="M201" s="287" t="n"/>
      <c r="N201" s="11" t="n"/>
      <c r="O201" s="11" t="n"/>
      <c r="P201" s="11" t="n"/>
      <c r="Q201" s="11" t="n"/>
      <c r="R201" s="11" t="n"/>
      <c r="S201" s="11" t="n"/>
      <c r="T201" s="18" t="n"/>
      <c r="U201" s="11" t="n"/>
      <c r="V201" s="11" t="n"/>
      <c r="W201" s="11" t="n"/>
      <c r="X201" s="18" t="n"/>
      <c r="Y201" s="11" t="n"/>
      <c r="Z201" s="11" t="n"/>
      <c r="AA201" s="11" t="n"/>
      <c r="AB201" s="60" t="n"/>
      <c r="AC201" s="60" t="n"/>
      <c r="AD201" s="60" t="n"/>
    </row>
    <row r="202" hidden="1" outlineLevel="1" ht="3" customFormat="1" customHeight="1" s="11">
      <c r="A202" s="94" t="inlineStr">
        <is>
          <t>S3</t>
        </is>
      </c>
      <c r="B202" s="11" t="n"/>
      <c r="C202" s="78" t="n"/>
      <c r="D202" s="78" t="n"/>
      <c r="E202" s="78" t="n"/>
      <c r="F202" s="78" t="n"/>
      <c r="G202" s="241" t="n"/>
      <c r="H202" s="241" t="n"/>
      <c r="I202" s="241" t="n"/>
      <c r="J202" s="241" t="n"/>
      <c r="K202" s="241" t="n"/>
      <c r="L202" s="61" t="n"/>
      <c r="M202" s="288" t="n"/>
      <c r="N202" s="62" t="n"/>
      <c r="O202" s="62" t="n"/>
      <c r="P202" s="61" t="n"/>
      <c r="Q202" s="61" t="n"/>
      <c r="R202" s="61" t="n"/>
      <c r="S202" s="61" t="n"/>
      <c r="T202" s="61" t="n"/>
      <c r="U202" s="61" t="n"/>
      <c r="V202" s="61" t="n"/>
      <c r="W202" s="61" t="n"/>
      <c r="X202" s="61" t="n"/>
      <c r="Y202" s="61" t="n"/>
      <c r="Z202" s="61" t="n"/>
      <c r="AA202" s="61" t="n"/>
      <c r="AB202" s="62" t="n"/>
      <c r="AC202" s="62" t="n"/>
      <c r="AD202" s="60" t="n"/>
    </row>
    <row r="203" ht="20.25" customFormat="1" customHeight="1" s="11">
      <c r="A203" s="94" t="inlineStr">
        <is>
          <t>W2</t>
        </is>
      </c>
      <c r="B203" s="11" t="n"/>
      <c r="C203" s="78" t="n"/>
      <c r="D203" s="78" t="n"/>
      <c r="E203" s="78" t="n"/>
      <c r="F203" s="78" t="n"/>
      <c r="G203" s="43" t="n"/>
      <c r="H203" s="43" t="n"/>
      <c r="I203" s="43" t="n"/>
      <c r="J203" s="43" t="n"/>
      <c r="K203" s="43" t="n"/>
      <c r="L203" s="146" t="n"/>
      <c r="M203" s="281" t="n"/>
      <c r="N203" s="43" t="n"/>
      <c r="O203" s="43" t="n"/>
      <c r="P203" s="43" t="n"/>
      <c r="Q203" s="43" t="n"/>
      <c r="R203" s="43" t="n"/>
      <c r="S203" s="356">
        <f>TOTAL_EFFORT</f>
        <v/>
      </c>
      <c r="U203" s="43" t="n"/>
      <c r="V203" s="43" t="n"/>
      <c r="W203" s="43" t="n"/>
      <c r="X203" s="43" t="n"/>
      <c r="Y203" s="43" t="n"/>
      <c r="Z203" s="43" t="n"/>
      <c r="AA203" s="43" t="n"/>
      <c r="AB203" s="145" t="n"/>
      <c r="AC203" s="43" t="n"/>
      <c r="AD203" s="60" t="n"/>
    </row>
    <row r="204" customFormat="1" s="11">
      <c r="A204" s="94" t="n"/>
      <c r="B204" s="11" t="n"/>
      <c r="C204" s="80" t="n"/>
      <c r="D204" s="80" t="n"/>
      <c r="E204" s="80" t="n"/>
      <c r="F204" s="78" t="n"/>
      <c r="M204" s="287" t="n"/>
      <c r="N204" s="60" t="n"/>
      <c r="O204" s="60" t="n"/>
      <c r="AB204" s="60" t="n"/>
      <c r="AC204" s="60" t="n"/>
      <c r="AD204" s="60" t="n"/>
    </row>
    <row r="205" collapsed="1" ht="20.25" customFormat="1" customHeight="1" s="11">
      <c r="A205" s="94" t="n"/>
      <c r="B205" s="11" t="n"/>
      <c r="C205" s="78" t="n"/>
      <c r="D205" s="78" t="n"/>
      <c r="E205" s="78" t="n"/>
      <c r="F205" s="78" t="n"/>
      <c r="G205" s="324" t="inlineStr">
        <is>
          <t>Notes</t>
        </is>
      </c>
      <c r="I205" s="324" t="n"/>
      <c r="J205" s="43" t="n"/>
      <c r="K205" s="43" t="n"/>
      <c r="L205" s="39" t="n"/>
      <c r="M205" s="289" t="inlineStr">
        <is>
          <t>Functional Breakdown Summary</t>
        </is>
      </c>
      <c r="N205" s="39" t="n"/>
      <c r="O205" s="39" t="n"/>
      <c r="P205" s="39" t="n"/>
      <c r="Q205" s="39" t="n"/>
      <c r="R205" s="39" t="n"/>
      <c r="S205" s="39" t="n"/>
      <c r="T205" s="39" t="n"/>
      <c r="U205" s="39" t="n"/>
      <c r="V205" s="39" t="n"/>
      <c r="W205" s="39" t="n"/>
      <c r="X205" s="39" t="n"/>
      <c r="Y205" s="39" t="n"/>
      <c r="Z205" s="39" t="n"/>
      <c r="AA205" s="39" t="n"/>
      <c r="AB205" s="39" t="n"/>
      <c r="AC205" s="39" t="n"/>
      <c r="AD205" s="60" t="n"/>
    </row>
    <row r="206" hidden="1" outlineLevel="1" customFormat="1" s="11">
      <c r="A206" s="94" t="n"/>
      <c r="B206" s="11" t="n"/>
      <c r="C206" s="80" t="n"/>
      <c r="D206" s="80" t="n"/>
      <c r="E206" s="80" t="n"/>
      <c r="F206" s="78" t="n"/>
      <c r="G206" s="241" t="n"/>
      <c r="H206" s="241" t="n"/>
      <c r="I206" s="241" t="n"/>
      <c r="J206" s="241" t="n"/>
      <c r="K206" s="241" t="n"/>
      <c r="L206" s="241" t="n"/>
      <c r="M206" s="285" t="n"/>
      <c r="N206" s="103" t="n"/>
      <c r="O206" s="103" t="n"/>
      <c r="P206" s="241" t="n"/>
      <c r="Q206" s="241" t="n"/>
      <c r="R206" s="241" t="n"/>
      <c r="S206" s="241" t="n"/>
      <c r="T206" s="241" t="n"/>
      <c r="U206" s="241" t="n"/>
      <c r="V206" s="241" t="n"/>
      <c r="W206" s="241" t="n"/>
      <c r="X206" s="241" t="n"/>
      <c r="Y206" s="241" t="n"/>
      <c r="Z206" s="241" t="n"/>
      <c r="AA206" s="241" t="n"/>
      <c r="AB206" s="103" t="n"/>
      <c r="AC206" s="103" t="n"/>
      <c r="AD206" s="60" t="n"/>
    </row>
    <row r="207" hidden="1" outlineLevel="1" ht="15" customFormat="1" customHeight="1" s="11">
      <c r="A207" s="94" t="n"/>
      <c r="B207" s="11" t="n"/>
      <c r="C207" s="80" t="n"/>
      <c r="D207" s="80" t="n"/>
      <c r="E207" s="80" t="n"/>
      <c r="F207" s="78" t="n"/>
      <c r="G207" s="241" t="n"/>
      <c r="H207" s="241" t="n"/>
      <c r="I207" s="241" t="n"/>
      <c r="J207" s="241" t="n"/>
      <c r="K207" s="241" t="n"/>
      <c r="L207" s="241" t="n"/>
      <c r="M207" s="307" t="inlineStr">
        <is>
          <t xml:space="preserve">Functional breakdown summary shows complete list of development tasks and modules and adds % based effort from all other phases into each task. This gets the complete costing and effort per development task. </t>
        </is>
      </c>
      <c r="U207" s="103" t="n"/>
      <c r="V207" s="103" t="n"/>
      <c r="W207" s="103" t="n"/>
      <c r="X207" s="241" t="n"/>
      <c r="Y207" s="241" t="n"/>
      <c r="Z207" s="241" t="n"/>
      <c r="AA207" s="241" t="n"/>
      <c r="AB207" s="103" t="n"/>
      <c r="AC207" s="103" t="n"/>
      <c r="AD207" s="60" t="n"/>
    </row>
    <row r="208" hidden="1" outlineLevel="1" customFormat="1" s="11">
      <c r="A208" s="94" t="n"/>
      <c r="B208" s="11" t="n"/>
      <c r="C208" s="80" t="n"/>
      <c r="D208" s="80" t="n"/>
      <c r="E208" s="80" t="n"/>
      <c r="F208" s="78" t="n"/>
      <c r="G208" s="241" t="n"/>
      <c r="H208" s="241" t="n"/>
      <c r="I208" s="241" t="n"/>
      <c r="J208" s="241" t="n"/>
      <c r="K208" s="241" t="n"/>
      <c r="L208" s="241" t="n"/>
      <c r="U208" s="103" t="n"/>
      <c r="V208" s="103" t="n"/>
      <c r="W208" s="103" t="n"/>
      <c r="X208" s="241" t="n"/>
      <c r="Y208" s="241" t="n"/>
      <c r="Z208" s="241" t="n"/>
      <c r="AA208" s="241" t="n"/>
      <c r="AB208" s="103" t="n"/>
      <c r="AC208" s="103" t="n"/>
      <c r="AD208" s="60" t="n"/>
    </row>
    <row r="209" hidden="1" outlineLevel="1" ht="3.75" customFormat="1" customHeight="1" s="11">
      <c r="A209" s="94" t="n"/>
      <c r="B209" s="11" t="n"/>
      <c r="C209" s="80" t="n"/>
      <c r="D209" s="80" t="n"/>
      <c r="E209" s="80" t="n"/>
      <c r="F209" s="78" t="n"/>
      <c r="G209" s="241" t="n"/>
      <c r="H209" s="241" t="n"/>
      <c r="I209" s="241" t="n"/>
      <c r="J209" s="241" t="n"/>
      <c r="K209" s="241" t="n"/>
      <c r="L209" s="241" t="n"/>
      <c r="M209" s="285" t="n"/>
      <c r="N209" s="103" t="n"/>
      <c r="O209" s="103" t="n"/>
      <c r="P209" s="241" t="n"/>
      <c r="Q209" s="241" t="n"/>
      <c r="R209" s="241" t="n"/>
      <c r="S209" s="241" t="n"/>
      <c r="T209" s="241" t="n"/>
      <c r="U209" s="241" t="n"/>
      <c r="V209" s="241" t="n"/>
      <c r="W209" s="241" t="n"/>
      <c r="X209" s="241" t="n"/>
      <c r="Y209" s="241" t="n"/>
      <c r="Z209" s="241" t="n"/>
      <c r="AA209" s="241" t="n"/>
      <c r="AB209" s="103" t="n"/>
      <c r="AC209" s="103" t="n"/>
      <c r="AD209" s="60" t="n"/>
    </row>
    <row r="210" hidden="1" outlineLevel="1" ht="15.5" customFormat="1" customHeight="1" s="11">
      <c r="A210" s="94" t="n"/>
      <c r="B210" s="11" t="n"/>
      <c r="C210" s="80" t="n"/>
      <c r="D210" s="80" t="n"/>
      <c r="E210" s="80" t="n"/>
      <c r="F210" s="78" t="n"/>
      <c r="G210" s="241" t="n"/>
      <c r="H210" s="241" t="n"/>
      <c r="I210" s="241" t="n"/>
      <c r="J210" s="241" t="n"/>
      <c r="K210" s="241" t="n"/>
      <c r="L210" s="241" t="n"/>
      <c r="M210" s="290" t="inlineStr">
        <is>
          <t>#</t>
        </is>
      </c>
      <c r="N210" s="203" t="inlineStr">
        <is>
          <t>Name</t>
        </is>
      </c>
      <c r="O210" s="207" t="inlineStr">
        <is>
          <t>Effort (PDs)</t>
        </is>
      </c>
      <c r="P210" s="206">
        <f>"Cost ("&amp;CHOSEN_CURRENCY&amp;")"</f>
        <v/>
      </c>
      <c r="Q210" s="241" t="n"/>
      <c r="R210" s="242" t="inlineStr">
        <is>
          <t>Format:</t>
        </is>
      </c>
      <c r="S210" s="222" t="inlineStr">
        <is>
          <t>Default</t>
        </is>
      </c>
      <c r="T210" s="253" t="inlineStr">
        <is>
          <t>Generate</t>
        </is>
      </c>
      <c r="U210" s="241" t="n"/>
      <c r="V210" s="241" t="n"/>
      <c r="W210" s="241" t="n"/>
      <c r="X210" s="241" t="n"/>
      <c r="Y210" s="241" t="n"/>
      <c r="Z210" s="241" t="n"/>
      <c r="AA210" s="241" t="n"/>
      <c r="AB210" s="103" t="n"/>
      <c r="AC210" s="103" t="n"/>
      <c r="AD210" s="60" t="n"/>
    </row>
    <row r="211" hidden="1" outlineLevel="1" ht="3" customFormat="1" customHeight="1" s="11">
      <c r="A211" s="94" t="n"/>
      <c r="B211" s="11" t="n"/>
      <c r="C211" s="80" t="n"/>
      <c r="D211" s="80" t="n"/>
      <c r="E211" s="80" t="n"/>
      <c r="F211" s="78" t="n"/>
      <c r="G211" s="241" t="n"/>
      <c r="H211" s="241" t="n"/>
      <c r="I211" s="241" t="n"/>
      <c r="J211" s="241" t="n"/>
      <c r="K211" s="241" t="n"/>
      <c r="L211" s="241" t="n"/>
      <c r="M211" s="291" t="n"/>
      <c r="N211" s="268" t="n"/>
      <c r="O211" s="268" t="n"/>
      <c r="P211" s="267" t="n"/>
      <c r="Q211" s="241" t="n"/>
      <c r="R211" s="241" t="n"/>
      <c r="S211" s="241" t="n"/>
      <c r="T211" s="241" t="n"/>
      <c r="U211" s="241" t="n"/>
      <c r="V211" s="241" t="n"/>
      <c r="W211" s="241" t="n"/>
      <c r="X211" s="241" t="n"/>
      <c r="Y211" s="241" t="n"/>
      <c r="Z211" s="241" t="n"/>
      <c r="AA211" s="241" t="n"/>
      <c r="AB211" s="103" t="n"/>
      <c r="AC211" s="103" t="n"/>
      <c r="AD211" s="60" t="n"/>
    </row>
    <row r="212" hidden="1" outlineLevel="1" customFormat="1" s="11">
      <c r="A212" s="94" t="n"/>
      <c r="B212" s="11" t="n"/>
      <c r="C212" s="80" t="n"/>
      <c r="D212" s="80" t="n"/>
      <c r="E212" s="80" t="n"/>
      <c r="F212" s="78" t="n"/>
      <c r="G212" s="241" t="n"/>
      <c r="H212" s="241" t="n"/>
      <c r="I212" s="241" t="n"/>
      <c r="J212" s="241" t="n"/>
      <c r="K212" s="241" t="n"/>
      <c r="L212" s="241" t="n"/>
      <c r="M212" s="285" t="n"/>
      <c r="N212" s="103" t="n"/>
      <c r="O212" s="103" t="n"/>
      <c r="P212" s="241" t="n"/>
      <c r="Q212" s="241" t="n"/>
      <c r="R212" s="241" t="n"/>
      <c r="S212" s="241" t="n"/>
      <c r="T212" s="241" t="n"/>
      <c r="U212" s="241" t="n"/>
      <c r="V212" s="241" t="n"/>
      <c r="W212" s="241" t="n"/>
      <c r="X212" s="241" t="n"/>
      <c r="Y212" s="241" t="n"/>
      <c r="Z212" s="241" t="n"/>
      <c r="AA212" s="241" t="n"/>
      <c r="AB212" s="103" t="n"/>
      <c r="AC212" s="103" t="n"/>
      <c r="AD212" s="60" t="n"/>
    </row>
    <row r="213" hidden="1" outlineLevel="1" customFormat="1" s="11">
      <c r="A213" s="94" t="n"/>
      <c r="B213" s="11" t="n"/>
      <c r="C213" s="80" t="n"/>
      <c r="D213" s="80" t="n"/>
      <c r="E213" s="80" t="n"/>
      <c r="F213" s="78" t="n"/>
      <c r="G213" s="241" t="n"/>
      <c r="H213" s="241" t="n"/>
      <c r="I213" s="241" t="n"/>
      <c r="J213" s="241" t="n"/>
      <c r="K213" s="241" t="n"/>
      <c r="L213" s="241" t="n"/>
      <c r="M213" s="285" t="n"/>
      <c r="N213" s="103" t="n"/>
      <c r="O213" s="103" t="n"/>
      <c r="P213" s="241" t="n"/>
      <c r="Q213" s="241" t="n"/>
      <c r="R213" s="241" t="n"/>
      <c r="S213" s="241" t="n"/>
      <c r="T213" s="241" t="n"/>
      <c r="U213" s="241" t="n"/>
      <c r="V213" s="241" t="n"/>
      <c r="W213" s="241" t="n"/>
      <c r="X213" s="241" t="n"/>
      <c r="Y213" s="241" t="n"/>
      <c r="Z213" s="241" t="n"/>
      <c r="AA213" s="241" t="n"/>
      <c r="AB213" s="103" t="n"/>
      <c r="AC213" s="103" t="n"/>
      <c r="AD213" s="60" t="n"/>
    </row>
    <row r="214" hidden="1" outlineLevel="1" customFormat="1" s="11">
      <c r="A214" s="94" t="n"/>
      <c r="B214" s="11" t="n"/>
      <c r="C214" s="80" t="n"/>
      <c r="D214" s="80" t="n"/>
      <c r="E214" s="80" t="n"/>
      <c r="F214" s="78" t="n"/>
      <c r="G214" s="241" t="n"/>
      <c r="H214" s="241" t="n"/>
      <c r="I214" s="241" t="n"/>
      <c r="J214" s="241" t="n"/>
      <c r="K214" s="241" t="n"/>
      <c r="L214" s="241" t="n"/>
      <c r="M214" s="285" t="n"/>
      <c r="N214" s="103" t="n"/>
      <c r="O214" s="103" t="n"/>
      <c r="P214" s="241" t="n"/>
      <c r="Q214" s="241" t="n"/>
      <c r="R214" s="241" t="n"/>
      <c r="S214" s="241" t="n"/>
      <c r="T214" s="241" t="n"/>
      <c r="U214" s="241" t="n"/>
      <c r="V214" s="241" t="n"/>
      <c r="W214" s="241" t="n"/>
      <c r="X214" s="241" t="n"/>
      <c r="Y214" s="241" t="n"/>
      <c r="Z214" s="241" t="n"/>
      <c r="AA214" s="241" t="n"/>
      <c r="AB214" s="103" t="n"/>
      <c r="AC214" s="103" t="n"/>
      <c r="AD214" s="60" t="n"/>
    </row>
    <row r="215" hidden="1" outlineLevel="1" customFormat="1" s="11">
      <c r="A215" s="94" t="n"/>
      <c r="B215" s="11" t="n"/>
      <c r="C215" s="80" t="n"/>
      <c r="D215" s="80" t="n"/>
      <c r="E215" s="80" t="n"/>
      <c r="F215" s="78" t="n"/>
      <c r="G215" s="241" t="n"/>
      <c r="H215" s="241" t="n"/>
      <c r="I215" s="241" t="n"/>
      <c r="J215" s="241" t="n"/>
      <c r="K215" s="241" t="n"/>
      <c r="L215" s="241" t="n"/>
      <c r="M215" s="285" t="n"/>
      <c r="N215" s="103" t="n"/>
      <c r="O215" s="103" t="n"/>
      <c r="P215" s="241" t="n"/>
      <c r="Q215" s="241" t="n"/>
      <c r="R215" s="241" t="n"/>
      <c r="S215" s="241" t="n"/>
      <c r="T215" s="241" t="n"/>
      <c r="U215" s="241" t="n"/>
      <c r="V215" s="241" t="n"/>
      <c r="W215" s="241" t="n"/>
      <c r="X215" s="241" t="n"/>
      <c r="Y215" s="241" t="n"/>
      <c r="Z215" s="241" t="n"/>
      <c r="AA215" s="241" t="n"/>
      <c r="AB215" s="103" t="n"/>
      <c r="AC215" s="103" t="n"/>
      <c r="AD215" s="60" t="n"/>
    </row>
    <row r="216" hidden="1" outlineLevel="1" customFormat="1" s="11">
      <c r="A216" s="94" t="n"/>
      <c r="B216" s="11" t="n"/>
      <c r="C216" s="80" t="n"/>
      <c r="D216" s="80" t="n"/>
      <c r="E216" s="80" t="n"/>
      <c r="F216" s="78" t="n"/>
      <c r="G216" s="241" t="n"/>
      <c r="H216" s="241" t="n"/>
      <c r="I216" s="241" t="n"/>
      <c r="J216" s="241" t="n"/>
      <c r="K216" s="241" t="n"/>
      <c r="L216" s="241" t="n"/>
      <c r="M216" s="285" t="n"/>
      <c r="N216" s="103" t="n"/>
      <c r="O216" s="103" t="n"/>
      <c r="P216" s="241" t="n"/>
      <c r="Q216" s="241" t="n"/>
      <c r="R216" s="241" t="n"/>
      <c r="S216" s="241" t="n"/>
      <c r="T216" s="241" t="n"/>
      <c r="U216" s="241" t="n"/>
      <c r="V216" s="241" t="n"/>
      <c r="W216" s="241" t="n"/>
      <c r="X216" s="241" t="n"/>
      <c r="Y216" s="241" t="n"/>
      <c r="Z216" s="241" t="n"/>
      <c r="AA216" s="241" t="n"/>
      <c r="AB216" s="103" t="n"/>
      <c r="AC216" s="103" t="n"/>
      <c r="AD216" s="60" t="n"/>
    </row>
    <row r="217" hidden="1" outlineLevel="1" ht="3" customFormat="1" customHeight="1" s="11">
      <c r="A217" s="94" t="n"/>
      <c r="B217" s="11" t="n"/>
      <c r="C217" s="80" t="n"/>
      <c r="D217" s="80" t="n"/>
      <c r="E217" s="80" t="n"/>
      <c r="F217" s="78" t="n"/>
      <c r="G217" s="241" t="n"/>
      <c r="H217" s="241" t="n"/>
      <c r="I217" s="241" t="n"/>
      <c r="J217" s="241" t="n"/>
      <c r="K217" s="241" t="n"/>
      <c r="L217" s="241" t="n"/>
      <c r="M217" s="291" t="n"/>
      <c r="N217" s="268" t="n"/>
      <c r="O217" s="268" t="n"/>
      <c r="P217" s="267" t="n"/>
      <c r="Q217" s="241" t="n"/>
      <c r="R217" s="241" t="n"/>
      <c r="S217" s="241" t="n"/>
      <c r="T217" s="241" t="n"/>
      <c r="U217" s="241" t="n"/>
      <c r="V217" s="241" t="n"/>
      <c r="W217" s="241" t="n"/>
      <c r="X217" s="241" t="n"/>
      <c r="Y217" s="241" t="n"/>
      <c r="Z217" s="241" t="n"/>
      <c r="AA217" s="241" t="n"/>
      <c r="AB217" s="103" t="n"/>
      <c r="AC217" s="103" t="n"/>
      <c r="AD217" s="60" t="n"/>
    </row>
    <row r="218" hidden="1" outlineLevel="1" customFormat="1" s="11">
      <c r="A218" s="94" t="n"/>
      <c r="B218" s="11" t="n"/>
      <c r="C218" s="80" t="n"/>
      <c r="D218" s="80" t="n"/>
      <c r="E218" s="80" t="n"/>
      <c r="F218" s="78" t="n"/>
      <c r="G218" s="241" t="n"/>
      <c r="H218" s="241" t="n"/>
      <c r="I218" s="241" t="n"/>
      <c r="J218" s="241" t="n"/>
      <c r="K218" s="241" t="n"/>
      <c r="L218" s="241" t="n"/>
      <c r="M218" s="292" t="n"/>
      <c r="N218" s="204" t="n"/>
      <c r="O218" s="357">
        <f>TOTAL_EFFORT</f>
        <v/>
      </c>
      <c r="P218" s="357">
        <f>TOTAL_COST</f>
        <v/>
      </c>
      <c r="Q218" s="241" t="n"/>
      <c r="R218" s="241" t="n"/>
      <c r="S218" s="241" t="n"/>
      <c r="T218" s="241" t="n"/>
      <c r="U218" s="241" t="n"/>
      <c r="V218" s="241" t="n"/>
      <c r="W218" s="241" t="n"/>
      <c r="X218" s="241" t="n"/>
      <c r="Y218" s="241" t="n"/>
      <c r="Z218" s="241" t="n"/>
      <c r="AA218" s="241" t="n"/>
      <c r="AB218" s="103" t="n"/>
      <c r="AC218" s="103" t="n"/>
      <c r="AD218" s="60" t="n"/>
    </row>
    <row r="219" hidden="1" outlineLevel="1" customFormat="1" s="11">
      <c r="A219" s="94" t="n"/>
      <c r="B219" s="11" t="n"/>
      <c r="C219" s="80" t="n"/>
      <c r="D219" s="80" t="n"/>
      <c r="E219" s="80" t="n"/>
      <c r="F219" s="78" t="n"/>
      <c r="G219" s="241" t="n"/>
      <c r="H219" s="241" t="n"/>
      <c r="I219" s="241" t="n"/>
      <c r="J219" s="241" t="n"/>
      <c r="K219" s="241" t="n"/>
      <c r="L219" s="241" t="n"/>
      <c r="M219" s="285" t="n"/>
      <c r="N219" s="103" t="n"/>
      <c r="O219" s="103" t="n"/>
      <c r="P219" s="241" t="n"/>
      <c r="Q219" s="241" t="n"/>
      <c r="R219" s="241" t="n"/>
      <c r="S219" s="241" t="n"/>
      <c r="T219" s="241" t="n"/>
      <c r="U219" s="241" t="n"/>
      <c r="V219" s="241" t="n"/>
      <c r="W219" s="241" t="n"/>
      <c r="X219" s="241" t="n"/>
      <c r="Y219" s="241" t="n"/>
      <c r="Z219" s="241" t="n"/>
      <c r="AA219" s="241" t="n"/>
      <c r="AB219" s="103" t="n"/>
      <c r="AC219" s="103" t="n"/>
      <c r="AD219" s="60" t="n"/>
    </row>
    <row r="220" hidden="1" outlineLevel="1" ht="20.25" customFormat="1" customHeight="1" s="11">
      <c r="A220" s="94" t="n"/>
      <c r="B220" s="11" t="n"/>
      <c r="C220" s="78" t="n"/>
      <c r="D220" s="78" t="n"/>
      <c r="E220" s="78" t="n"/>
      <c r="F220" s="78" t="n"/>
      <c r="G220" s="43" t="n"/>
      <c r="H220" s="43" t="n"/>
      <c r="I220" s="43" t="n"/>
      <c r="J220" s="43" t="n"/>
      <c r="K220" s="43" t="n"/>
      <c r="L220" s="43" t="n"/>
      <c r="M220" s="281" t="n"/>
      <c r="N220" s="43" t="n"/>
      <c r="O220" s="43" t="n"/>
      <c r="P220" s="43" t="n"/>
      <c r="Q220" s="43" t="n"/>
      <c r="R220" s="43" t="n"/>
      <c r="S220" s="43" t="n"/>
      <c r="T220" s="43" t="n"/>
      <c r="U220" s="43" t="n"/>
      <c r="V220" s="43" t="n"/>
      <c r="W220" s="43" t="n"/>
      <c r="X220" s="43" t="n"/>
      <c r="Y220" s="43" t="n"/>
      <c r="Z220" s="43" t="n"/>
      <c r="AA220" s="43" t="n"/>
      <c r="AB220" s="43" t="n"/>
      <c r="AC220" s="43" t="n"/>
      <c r="AD220" s="60" t="n"/>
    </row>
    <row r="221" ht="15" customHeight="1" s="232">
      <c r="F221" s="78" t="n"/>
    </row>
    <row r="222" collapsed="1" ht="20.25" customFormat="1" customHeight="1" s="11">
      <c r="A222" s="94" t="n"/>
      <c r="B222" s="11" t="n"/>
      <c r="C222" s="78" t="n"/>
      <c r="D222" s="78" t="n"/>
      <c r="E222" s="78" t="n"/>
      <c r="F222" s="78" t="n"/>
      <c r="G222" s="324" t="inlineStr">
        <is>
          <t>Notes</t>
        </is>
      </c>
      <c r="I222" s="324" t="n"/>
      <c r="J222" s="43" t="n"/>
      <c r="K222" s="43" t="n"/>
      <c r="L222" s="39" t="n"/>
      <c r="M222" s="289" t="inlineStr">
        <is>
          <t>Pricing &amp; Basic Schedule</t>
        </is>
      </c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9" t="n"/>
      <c r="X222" s="39" t="n"/>
      <c r="Y222" s="39" t="n"/>
      <c r="Z222" s="39" t="n"/>
      <c r="AA222" s="39" t="n"/>
      <c r="AB222" s="39" t="n"/>
      <c r="AC222" s="39" t="n"/>
      <c r="AD222" s="60" t="n"/>
    </row>
    <row r="223" hidden="1" outlineLevel="1" s="232">
      <c r="F223" s="78" t="n"/>
      <c r="G223" s="222" t="n"/>
      <c r="H223" s="222" t="n"/>
      <c r="I223" s="222" t="n"/>
      <c r="J223" s="222" t="n"/>
      <c r="K223" s="222" t="n"/>
      <c r="L223" s="222" t="n"/>
      <c r="M223" s="294" t="n"/>
      <c r="N223" s="100" t="n"/>
      <c r="O223" s="100" t="n"/>
      <c r="P223" s="222" t="n"/>
      <c r="Q223" s="222" t="n"/>
      <c r="R223" s="222" t="n"/>
      <c r="S223" s="222" t="n"/>
      <c r="T223" s="222" t="n"/>
      <c r="U223" s="222" t="n"/>
      <c r="V223" s="222" t="n"/>
      <c r="W223" s="222" t="n"/>
      <c r="X223" s="222" t="n"/>
      <c r="Y223" s="222" t="n"/>
      <c r="Z223" s="222" t="n"/>
      <c r="AA223" s="222" t="n"/>
      <c r="AB223" s="100" t="n"/>
      <c r="AC223" s="103" t="n"/>
    </row>
    <row r="224" hidden="1" outlineLevel="1" s="232">
      <c r="F224" s="78" t="n"/>
      <c r="G224" s="222" t="n">
        <v>1</v>
      </c>
      <c r="H224" s="222" t="n"/>
      <c r="I224" s="222" t="n"/>
      <c r="J224" s="222" t="n"/>
      <c r="K224" s="222" t="n"/>
      <c r="L224" s="222" t="n"/>
      <c r="M224" s="294" t="n"/>
      <c r="N224" s="100" t="n"/>
      <c r="O224" s="100" t="n"/>
      <c r="P224" s="222" t="n"/>
      <c r="Q224" s="331" t="inlineStr">
        <is>
          <t>Role-wise rates / effort distribution</t>
        </is>
      </c>
      <c r="R224" s="358" t="n"/>
      <c r="S224" s="358" t="n"/>
      <c r="T224" s="358" t="n"/>
      <c r="U224" s="358" t="n"/>
      <c r="V224" s="358" t="n"/>
      <c r="W224" s="255" t="n"/>
      <c r="X224" s="222" t="n"/>
      <c r="Y224" s="222" t="n"/>
      <c r="Z224" s="222" t="n"/>
      <c r="AA224" s="222" t="n"/>
      <c r="AB224" s="100" t="n"/>
      <c r="AC224" s="103" t="n"/>
    </row>
    <row r="225" hidden="1" outlineLevel="1" ht="15" customHeight="1" s="232">
      <c r="B225" s="11">
        <f>IF(OR(COUNTBLANK(Q225:W225)&lt;&gt;0,SUM(Q225:W225)=0), ".", "")</f>
        <v/>
      </c>
      <c r="F225" s="78" t="n"/>
      <c r="G225" s="222" t="n">
        <v>2</v>
      </c>
      <c r="H225" s="222" t="n"/>
      <c r="I225" s="222" t="n"/>
      <c r="J225" s="222" t="n"/>
      <c r="K225" s="222" t="n"/>
      <c r="L225" s="222" t="n"/>
      <c r="M225" s="294" t="n"/>
      <c r="N225" s="100" t="n"/>
      <c r="O225" s="311" t="inlineStr">
        <is>
          <t>PDs</t>
        </is>
      </c>
      <c r="P225" s="311" t="inlineStr">
        <is>
          <t>Weeks</t>
        </is>
      </c>
      <c r="Q225" s="359">
        <f>28 * 8</f>
        <v/>
      </c>
      <c r="R225" s="359">
        <f>28 * 8</f>
        <v/>
      </c>
      <c r="S225" s="359">
        <f>28 * 8</f>
        <v/>
      </c>
      <c r="T225" s="359">
        <f>28 * 8</f>
        <v/>
      </c>
      <c r="U225" s="359">
        <f>28 * 8</f>
        <v/>
      </c>
      <c r="V225" s="359">
        <f>28 * 8</f>
        <v/>
      </c>
      <c r="W225" s="360">
        <f>CHOSEN_CURRENCY</f>
        <v/>
      </c>
      <c r="Y225" s="222" t="n"/>
      <c r="Z225" s="222" t="n"/>
      <c r="AA225" s="222" t="n"/>
      <c r="AB225" s="100" t="n"/>
      <c r="AC225" s="103" t="n"/>
    </row>
    <row r="226" hidden="1" outlineLevel="1" ht="15" customHeight="1" s="232">
      <c r="F226" s="78" t="n"/>
      <c r="G226" s="222" t="n">
        <v>3</v>
      </c>
      <c r="H226" s="222" t="n"/>
      <c r="I226" s="222" t="n"/>
      <c r="J226" s="222" t="n"/>
      <c r="K226" s="222" t="n"/>
      <c r="L226" s="222" t="n"/>
      <c r="M226" s="294" t="n"/>
      <c r="N226" s="100" t="n"/>
      <c r="O226" s="358" t="n"/>
      <c r="P226" s="358" t="n"/>
      <c r="Q226" s="295" t="inlineStr">
        <is>
          <t>BA</t>
        </is>
      </c>
      <c r="R226" s="295" t="inlineStr">
        <is>
          <t>TA</t>
        </is>
      </c>
      <c r="S226" s="295" t="inlineStr">
        <is>
          <t>TL</t>
        </is>
      </c>
      <c r="T226" s="295" t="inlineStr">
        <is>
          <t>DEV</t>
        </is>
      </c>
      <c r="U226" s="295" t="inlineStr">
        <is>
          <t>QA</t>
        </is>
      </c>
      <c r="V226" s="296" t="inlineStr">
        <is>
          <t>GD</t>
        </is>
      </c>
      <c r="W226" s="361" t="n"/>
      <c r="X226" s="358" t="n"/>
      <c r="Y226" s="222" t="n"/>
      <c r="Z226" s="222" t="n"/>
      <c r="AA226" s="222" t="n"/>
      <c r="AB226" s="100" t="n"/>
      <c r="AC226" s="103" t="n"/>
    </row>
    <row r="227" hidden="1" outlineLevel="1" ht="15" customHeight="1" s="232">
      <c r="B227" s="11">
        <f>IF(SUM(Q227:V227)&lt;&gt;1,".","")</f>
        <v/>
      </c>
      <c r="F227" s="78" t="n"/>
      <c r="G227" s="222" t="n">
        <v>4</v>
      </c>
      <c r="H227" s="222" t="n"/>
      <c r="I227" s="222" t="n"/>
      <c r="J227" s="222" t="n"/>
      <c r="K227" s="222" t="n"/>
      <c r="L227" s="67" t="inlineStr">
        <is>
          <t>Req</t>
        </is>
      </c>
      <c r="M227" s="285">
        <f>$L$12</f>
        <v/>
      </c>
      <c r="N227" s="103">
        <f>$M$12</f>
        <v/>
      </c>
      <c r="O227" s="65">
        <f>S12</f>
        <v/>
      </c>
      <c r="P227" s="362">
        <f>ROUND(REQ_EFFORT/5,0)</f>
        <v/>
      </c>
      <c r="Q227" s="105" t="n">
        <v>0.85</v>
      </c>
      <c r="R227" s="269" t="n">
        <v>0.1</v>
      </c>
      <c r="S227" s="45" t="n"/>
      <c r="T227" s="45" t="n"/>
      <c r="U227" s="45" t="n"/>
      <c r="V227" s="46" t="n">
        <v>0.05</v>
      </c>
      <c r="W227" s="363">
        <f>(($O227*Q227)*Q$225)+(($O227*R227)*R$225)+(($O227*S227)*S$225)+(($O227*T227)*T$225)+(($O227*U227)*U$225)+(($O227*V227)*V$225)</f>
        <v/>
      </c>
      <c r="X227" s="364" t="n"/>
      <c r="Y227" s="222" t="n"/>
      <c r="Z227" s="222" t="n"/>
      <c r="AA227" s="222" t="n"/>
      <c r="AB227" s="100" t="n"/>
      <c r="AC227" s="103" t="n"/>
    </row>
    <row r="228" hidden="1" outlineLevel="1" s="232">
      <c r="B228" s="11">
        <f>IF(SUM(Q228:V228)&lt;&gt;1,".","")</f>
        <v/>
      </c>
      <c r="F228" s="78" t="n"/>
      <c r="G228" s="222" t="n">
        <v>5</v>
      </c>
      <c r="H228" s="222" t="n"/>
      <c r="I228" s="222" t="n"/>
      <c r="J228" s="222" t="n"/>
      <c r="K228" s="222" t="n"/>
      <c r="L228" s="67" t="inlineStr">
        <is>
          <t>Design</t>
        </is>
      </c>
      <c r="M228" s="285">
        <f>$L$65</f>
        <v/>
      </c>
      <c r="N228" s="103">
        <f>$M$65</f>
        <v/>
      </c>
      <c r="O228" s="65">
        <f>S65</f>
        <v/>
      </c>
      <c r="P228" s="362">
        <f>ROUND(DESIGN_EFFORT/5,0)</f>
        <v/>
      </c>
      <c r="Q228" s="45" t="n"/>
      <c r="R228" s="270" t="n">
        <v>0.7</v>
      </c>
      <c r="S228" s="44" t="n">
        <v>0.2</v>
      </c>
      <c r="T228" s="45" t="n"/>
      <c r="U228" s="44" t="n">
        <v>0.1</v>
      </c>
      <c r="V228" s="47" t="n"/>
      <c r="W228" s="363">
        <f>(($O228*Q228)*Q$225)+(($O228*R228)*R$225)+(($O228*S228)*S$225)+(($O228*T228)*T$225)+(($O228*U228)*U$225)+(($O228*V228)*V$225)</f>
        <v/>
      </c>
      <c r="X228" s="364" t="n"/>
      <c r="Y228" s="222" t="n"/>
      <c r="Z228" s="222" t="n"/>
      <c r="AA228" s="222" t="n"/>
      <c r="AB228" s="100" t="n"/>
      <c r="AC228" s="103" t="n"/>
    </row>
    <row r="229" hidden="1" outlineLevel="1" s="232">
      <c r="B229" s="11">
        <f>IF(SUM(Q229:V229)&lt;&gt;1,".","")</f>
        <v/>
      </c>
      <c r="F229" s="78" t="n"/>
      <c r="G229" s="222" t="n">
        <v>6</v>
      </c>
      <c r="H229" s="222" t="n"/>
      <c r="I229" s="222" t="n"/>
      <c r="J229" s="222" t="n"/>
      <c r="K229" s="222" t="n"/>
      <c r="L229" s="67" t="inlineStr">
        <is>
          <t>Dev.</t>
        </is>
      </c>
      <c r="M229" s="285">
        <f>$L$95</f>
        <v/>
      </c>
      <c r="N229" s="103">
        <f>$M$95</f>
        <v/>
      </c>
      <c r="O229" s="65">
        <f>S95</f>
        <v/>
      </c>
      <c r="P229" s="362">
        <f>ROUND(DEV_EFFORT/5,0)</f>
        <v/>
      </c>
      <c r="Q229" s="45" t="n"/>
      <c r="R229" s="269" t="n"/>
      <c r="S229" s="44" t="n">
        <v>0.3</v>
      </c>
      <c r="T229" s="105" t="n">
        <v>0.7</v>
      </c>
      <c r="U229" s="45" t="n"/>
      <c r="V229" s="47" t="n"/>
      <c r="W229" s="363">
        <f>(($O229*Q229)*Q$225)+(($O229*R229)*R$225)+(($O229*S229)*S$225)+(($O229*T229)*T$225)+(($O229*U229)*U$225)+(($O229*V229)*V$225)</f>
        <v/>
      </c>
      <c r="X229" s="364" t="n"/>
      <c r="Y229" s="222" t="n"/>
      <c r="Z229" s="222" t="n"/>
      <c r="AA229" s="222" t="n"/>
      <c r="AB229" s="100" t="n"/>
      <c r="AC229" s="103" t="n"/>
    </row>
    <row r="230" hidden="1" outlineLevel="1" s="232">
      <c r="B230" s="11">
        <f>IF(SUM(Q230:V230)&lt;&gt;1,".","")</f>
        <v/>
      </c>
      <c r="F230" s="78" t="n"/>
      <c r="G230" s="222" t="n">
        <v>7</v>
      </c>
      <c r="H230" s="222" t="n"/>
      <c r="I230" s="222" t="n"/>
      <c r="J230" s="222" t="n"/>
      <c r="K230" s="222" t="n"/>
      <c r="L230" s="67" t="inlineStr">
        <is>
          <t>QA</t>
        </is>
      </c>
      <c r="M230" s="285">
        <f>$L$135</f>
        <v/>
      </c>
      <c r="N230" s="103">
        <f>$M$135</f>
        <v/>
      </c>
      <c r="O230" s="65">
        <f>S135</f>
        <v/>
      </c>
      <c r="P230" s="362">
        <f>ROUND(QA_EFFORT/5,0)</f>
        <v/>
      </c>
      <c r="Q230" s="45" t="n"/>
      <c r="R230" s="269" t="n"/>
      <c r="S230" s="44" t="n">
        <v>0.1</v>
      </c>
      <c r="T230" s="44" t="n">
        <v>0.1</v>
      </c>
      <c r="U230" s="105" t="n">
        <v>0.8</v>
      </c>
      <c r="V230" s="47" t="n"/>
      <c r="W230" s="363">
        <f>(($O230*Q230)*Q$225)+(($O230*R230)*R$225)+(($O230*S230)*S$225)+(($O230*T230)*T$225)+(($O230*U230)*U$225)+(($O230*V230)*V$225)</f>
        <v/>
      </c>
      <c r="X230" s="364" t="n"/>
      <c r="Y230" s="222" t="n"/>
      <c r="Z230" s="222" t="n"/>
      <c r="AA230" s="222" t="n"/>
      <c r="AB230" s="100" t="n"/>
      <c r="AC230" s="103" t="n"/>
    </row>
    <row r="231" hidden="1" outlineLevel="1" s="232">
      <c r="B231" s="11">
        <f>IF(SUM(Q231:V231)&lt;&gt;1,".","")</f>
        <v/>
      </c>
      <c r="F231" s="78" t="n"/>
      <c r="G231" s="222" t="n">
        <v>8</v>
      </c>
      <c r="H231" s="222" t="n"/>
      <c r="I231" s="222" t="n"/>
      <c r="J231" s="222" t="n"/>
      <c r="K231" s="222" t="n"/>
      <c r="L231" s="67" t="inlineStr">
        <is>
          <t>UAT Etc.</t>
        </is>
      </c>
      <c r="M231" s="285">
        <f>$L$173</f>
        <v/>
      </c>
      <c r="N231" s="103">
        <f>$M$173</f>
        <v/>
      </c>
      <c r="O231" s="65">
        <f>S173</f>
        <v/>
      </c>
      <c r="P231" s="362">
        <f>ROUND(UAT_EFFORT/5,0)</f>
        <v/>
      </c>
      <c r="Q231" s="45" t="n"/>
      <c r="R231" s="269" t="n"/>
      <c r="S231" s="44" t="n">
        <v>0.4</v>
      </c>
      <c r="T231" s="105" t="n">
        <v>0.4</v>
      </c>
      <c r="U231" s="44" t="n">
        <v>0.2</v>
      </c>
      <c r="V231" s="47" t="n"/>
      <c r="W231" s="363">
        <f>(($O231*Q231)*Q$225)+(($O231*R231)*R$225)+(($O231*S231)*S$225)+(($O231*T231)*T$225)+(($O231*U231)*U$225)+(($O231*V231)*V$225)</f>
        <v/>
      </c>
      <c r="X231" s="364" t="n"/>
      <c r="Y231" s="222" t="n"/>
      <c r="Z231" s="222" t="n"/>
      <c r="AA231" s="222" t="n"/>
      <c r="AB231" s="100" t="n"/>
      <c r="AC231" s="103" t="n"/>
    </row>
    <row r="232" hidden="1" outlineLevel="1" s="232">
      <c r="B232" s="11">
        <f>IF(SUM(Q232:V232)&lt;&gt;1,".","")</f>
        <v/>
      </c>
      <c r="F232" s="78" t="n"/>
      <c r="G232" s="222" t="n">
        <v>9</v>
      </c>
      <c r="H232" s="222" t="n"/>
      <c r="I232" s="222" t="n"/>
      <c r="J232" s="222" t="n"/>
      <c r="K232" s="222" t="n"/>
      <c r="L232" s="67" t="inlineStr">
        <is>
          <t>Others</t>
        </is>
      </c>
      <c r="M232" s="285">
        <f>$L$196</f>
        <v/>
      </c>
      <c r="N232" s="103">
        <f>$M$196</f>
        <v/>
      </c>
      <c r="O232" s="65">
        <f>S196</f>
        <v/>
      </c>
      <c r="P232" s="362">
        <f>ROUND(OTHER_EFFORT/5,0)</f>
        <v/>
      </c>
      <c r="Q232" s="45" t="n"/>
      <c r="R232" s="269" t="n">
        <v>0.2</v>
      </c>
      <c r="S232" s="105" t="n">
        <v>0.8</v>
      </c>
      <c r="T232" s="45" t="n"/>
      <c r="U232" s="45" t="n"/>
      <c r="V232" s="47" t="n"/>
      <c r="W232" s="365">
        <f>(($O232*Q232)*Q$225)+(($O232*R232)*R$225)+(($O232*S232)*S$225)+(($O232*T232)*T$225)+(($O232*U232)*U$225)+(($O232*V232)*V$225)</f>
        <v/>
      </c>
      <c r="X232" s="366" t="n"/>
      <c r="Y232" s="222" t="n"/>
      <c r="Z232" s="222" t="n"/>
      <c r="AA232" s="222" t="n"/>
      <c r="AB232" s="100" t="n"/>
      <c r="AC232" s="103" t="n"/>
    </row>
    <row r="233" hidden="1" outlineLevel="1" ht="21" customHeight="1" s="232">
      <c r="F233" s="78" t="n"/>
      <c r="G233" s="222" t="n">
        <v>10</v>
      </c>
      <c r="H233" s="222" t="n"/>
      <c r="I233" s="222" t="n"/>
      <c r="J233" s="222" t="n"/>
      <c r="K233" s="222" t="n"/>
      <c r="L233" s="222" t="n"/>
      <c r="M233" s="294" t="n"/>
      <c r="N233" s="100" t="n"/>
      <c r="O233" s="367">
        <f>SUM(O227:O232)</f>
        <v/>
      </c>
      <c r="P233" s="262">
        <f>SUM(P227:P232)</f>
        <v/>
      </c>
      <c r="Q233" s="317" t="inlineStr">
        <is>
          <t>←  TOTALS  →</t>
        </is>
      </c>
      <c r="R233" s="368" t="n"/>
      <c r="S233" s="368" t="n"/>
      <c r="T233" s="368" t="n"/>
      <c r="U233" s="368" t="n"/>
      <c r="V233" s="368" t="n"/>
      <c r="W233" s="369">
        <f>SUM(W227:W232)</f>
        <v/>
      </c>
      <c r="X233" s="368" t="n"/>
      <c r="Y233" s="222" t="n"/>
      <c r="Z233" s="222" t="n"/>
      <c r="AA233" s="222" t="n"/>
      <c r="AB233" s="100" t="n"/>
      <c r="AC233" s="103" t="n"/>
    </row>
    <row r="234" hidden="1" outlineLevel="1" s="232">
      <c r="F234" s="78" t="n"/>
      <c r="G234" s="222" t="n"/>
      <c r="H234" s="222" t="n"/>
      <c r="I234" s="222" t="n"/>
      <c r="J234" s="222" t="n"/>
      <c r="K234" s="222" t="n"/>
      <c r="L234" s="222" t="n"/>
      <c r="M234" s="294" t="n"/>
      <c r="N234" s="100" t="n"/>
      <c r="O234" s="100" t="n"/>
      <c r="P234" s="222" t="n"/>
      <c r="Q234" s="222" t="n"/>
      <c r="R234" s="222" t="n"/>
      <c r="S234" s="222" t="n"/>
      <c r="T234" s="222" t="n"/>
      <c r="U234" s="222" t="n"/>
      <c r="V234" s="222" t="n"/>
      <c r="W234" s="222" t="n"/>
      <c r="X234" s="222" t="n"/>
      <c r="Y234" s="222" t="n"/>
      <c r="Z234" s="222" t="n"/>
      <c r="AA234" s="222" t="n"/>
      <c r="AB234" s="100" t="n"/>
      <c r="AC234" s="103" t="n"/>
    </row>
    <row r="235" hidden="1" outlineLevel="1" ht="15" customHeight="1" s="232">
      <c r="F235" s="78" t="n"/>
      <c r="G235" s="222" t="n"/>
      <c r="H235" s="222" t="n"/>
      <c r="I235" s="222" t="n"/>
      <c r="J235" s="222" t="n"/>
      <c r="K235" s="222" t="n"/>
      <c r="L235" s="222" t="n"/>
      <c r="M235" s="294" t="n"/>
      <c r="N235" s="100" t="n"/>
      <c r="O235" s="100" t="n"/>
      <c r="P235" s="222" t="n"/>
      <c r="Q235" s="330" t="inlineStr">
        <is>
          <t>Role-wise resource count / phase</t>
        </is>
      </c>
      <c r="R235" s="370" t="n"/>
      <c r="S235" s="370" t="n"/>
      <c r="T235" s="370" t="n"/>
      <c r="U235" s="370" t="n"/>
      <c r="V235" s="370" t="n"/>
      <c r="W235" s="318" t="inlineStr">
        <is>
          <t>Start Next  
After %</t>
        </is>
      </c>
      <c r="X235" s="352" t="n"/>
      <c r="Y235" s="222" t="n"/>
      <c r="Z235" s="222" t="n"/>
      <c r="AA235" s="222" t="n"/>
      <c r="AB235" s="100" t="n"/>
      <c r="AC235" s="103" t="n"/>
    </row>
    <row r="236" hidden="1" outlineLevel="1" ht="15" customHeight="1" s="232">
      <c r="F236" s="78" t="n"/>
      <c r="G236" s="222" t="n"/>
      <c r="H236" s="222" t="n"/>
      <c r="I236" s="222" t="n"/>
      <c r="J236" s="222" t="n"/>
      <c r="K236" s="222" t="n"/>
      <c r="L236" s="222" t="n"/>
      <c r="M236" s="285" t="n"/>
      <c r="N236" s="103" t="n"/>
      <c r="O236" s="107" t="inlineStr">
        <is>
          <t>Start</t>
        </is>
      </c>
      <c r="P236" s="108" t="inlineStr">
        <is>
          <t>End</t>
        </is>
      </c>
      <c r="Q236" s="295" t="inlineStr">
        <is>
          <t>BA</t>
        </is>
      </c>
      <c r="R236" s="295" t="inlineStr">
        <is>
          <t>TA</t>
        </is>
      </c>
      <c r="S236" s="295" t="inlineStr">
        <is>
          <t>TL</t>
        </is>
      </c>
      <c r="T236" s="295" t="inlineStr">
        <is>
          <t>DEV</t>
        </is>
      </c>
      <c r="U236" s="295" t="inlineStr">
        <is>
          <t>QA</t>
        </is>
      </c>
      <c r="V236" s="296" t="inlineStr">
        <is>
          <t>GD</t>
        </is>
      </c>
      <c r="W236" s="352" t="n"/>
      <c r="X236" s="352" t="n"/>
      <c r="Y236" s="222" t="n"/>
      <c r="Z236" s="102" t="n"/>
      <c r="AA236" s="102" t="n"/>
      <c r="AB236" s="102" t="n"/>
      <c r="AC236" s="102" t="n"/>
    </row>
    <row r="237" hidden="1" outlineLevel="1" ht="15" customHeight="1" s="232">
      <c r="F237" s="78" t="n"/>
      <c r="G237" s="222" t="n"/>
      <c r="H237" s="222" t="n"/>
      <c r="I237" s="222" t="n"/>
      <c r="J237" s="222" t="n"/>
      <c r="K237" s="222" t="n"/>
      <c r="L237" s="222" t="n"/>
      <c r="M237" s="285">
        <f>$L$12</f>
        <v/>
      </c>
      <c r="N237" s="103">
        <f>$M$12</f>
        <v/>
      </c>
      <c r="O237" s="112" t="n">
        <v>42583</v>
      </c>
      <c r="P237" s="109">
        <f>O237+(((P227*REQ_BA_PERCENT)/REQ_BA_COUNT)*7)</f>
        <v/>
      </c>
      <c r="Q237" s="371" t="n">
        <v>2</v>
      </c>
      <c r="R237" s="372" t="n">
        <v>1</v>
      </c>
      <c r="S237" s="373" t="n"/>
      <c r="T237" s="373" t="n"/>
      <c r="U237" s="373" t="n"/>
      <c r="V237" s="374" t="n">
        <v>1</v>
      </c>
      <c r="W237" s="259" t="n">
        <v>0.75</v>
      </c>
      <c r="X237" s="222" t="n"/>
      <c r="Y237" s="303" t="inlineStr">
        <is>
          <t>Note: This does not takes care of optimized parallel execution of tasks. For that manual scheduling will be required, which can be / done on next sheet.</t>
        </is>
      </c>
      <c r="Z237" s="352" t="n"/>
      <c r="AA237" s="352" t="n"/>
      <c r="AB237" s="100" t="n"/>
      <c r="AC237" s="103" t="n"/>
    </row>
    <row r="238" hidden="1" outlineLevel="1" s="232">
      <c r="F238" s="78" t="n"/>
      <c r="G238" s="222" t="n"/>
      <c r="H238" s="222" t="n"/>
      <c r="I238" s="222" t="n"/>
      <c r="J238" s="222" t="n"/>
      <c r="K238" s="222" t="n"/>
      <c r="L238" s="222" t="n"/>
      <c r="M238" s="285">
        <f>$L$65</f>
        <v/>
      </c>
      <c r="N238" s="103">
        <f>$M$65</f>
        <v/>
      </c>
      <c r="O238" s="110">
        <f>O237+((P237-O237)*W237)+1</f>
        <v/>
      </c>
      <c r="P238" s="109">
        <f>O238+(((P228*DESIGN_TA_PERCENT)/DESIGN_TA_COUNT)*7)</f>
        <v/>
      </c>
      <c r="Q238" s="373" t="n">
        <v>1</v>
      </c>
      <c r="R238" s="375" t="n">
        <v>3</v>
      </c>
      <c r="S238" s="373" t="n">
        <v>1</v>
      </c>
      <c r="T238" s="373" t="n"/>
      <c r="U238" s="373" t="n">
        <v>1</v>
      </c>
      <c r="V238" s="374" t="n"/>
      <c r="W238" s="260" t="n">
        <v>0.75</v>
      </c>
      <c r="X238" s="222" t="n"/>
      <c r="Y238" s="352" t="n"/>
      <c r="Z238" s="352" t="n"/>
      <c r="AA238" s="352" t="n"/>
      <c r="AB238" s="100" t="n"/>
      <c r="AC238" s="103" t="n"/>
    </row>
    <row r="239" hidden="1" outlineLevel="1" s="232">
      <c r="F239" s="78" t="n"/>
      <c r="G239" s="222" t="n"/>
      <c r="H239" s="222" t="n"/>
      <c r="I239" s="222" t="n"/>
      <c r="J239" s="222" t="n"/>
      <c r="K239" s="222" t="n"/>
      <c r="L239" s="222" t="n"/>
      <c r="M239" s="285">
        <f>$L$95</f>
        <v/>
      </c>
      <c r="N239" s="103">
        <f>$M$95</f>
        <v/>
      </c>
      <c r="O239" s="110">
        <f>O238+((P238-O238)*W238)+1</f>
        <v/>
      </c>
      <c r="P239" s="109">
        <f>O239+(((P229*DEV_DEV_PERCENT)/DEV_DEV_COUNT)*7)</f>
        <v/>
      </c>
      <c r="Q239" s="373" t="n"/>
      <c r="R239" s="372" t="n"/>
      <c r="S239" s="373" t="n">
        <v>1</v>
      </c>
      <c r="T239" s="371" t="n">
        <v>2</v>
      </c>
      <c r="U239" s="373" t="n"/>
      <c r="V239" s="374" t="n"/>
      <c r="W239" s="259" t="n">
        <v>0.75</v>
      </c>
      <c r="X239" s="222" t="n"/>
      <c r="Y239" s="352" t="n"/>
      <c r="Z239" s="352" t="n"/>
      <c r="AA239" s="352" t="n"/>
      <c r="AB239" s="100" t="n"/>
      <c r="AC239" s="103" t="n"/>
    </row>
    <row r="240" hidden="1" outlineLevel="1" s="232">
      <c r="F240" s="78" t="n"/>
      <c r="G240" s="222" t="n"/>
      <c r="H240" s="222" t="n"/>
      <c r="I240" s="222" t="n"/>
      <c r="J240" s="222" t="n"/>
      <c r="K240" s="222" t="n"/>
      <c r="L240" s="222" t="n"/>
      <c r="M240" s="285">
        <f>$L$135</f>
        <v/>
      </c>
      <c r="N240" s="103">
        <f>$M$135</f>
        <v/>
      </c>
      <c r="O240" s="110">
        <f>O239+((P239-O239)*W239)+1</f>
        <v/>
      </c>
      <c r="P240" s="109">
        <f>O240+(((P230*TESTING_QA_PERCENT)/TESTING_QA_COUNT)*7)</f>
        <v/>
      </c>
      <c r="Q240" s="373" t="n"/>
      <c r="R240" s="372" t="n"/>
      <c r="S240" s="373" t="n">
        <v>1</v>
      </c>
      <c r="T240" s="373" t="n">
        <v>2</v>
      </c>
      <c r="U240" s="371" t="n">
        <v>1</v>
      </c>
      <c r="V240" s="376" t="n"/>
      <c r="W240" s="259" t="n">
        <v>1</v>
      </c>
      <c r="X240" s="222" t="n"/>
      <c r="Y240" s="352" t="n"/>
      <c r="Z240" s="352" t="n"/>
      <c r="AA240" s="352" t="n"/>
      <c r="AB240" s="100" t="n"/>
      <c r="AC240" s="103" t="n"/>
    </row>
    <row r="241" hidden="1" outlineLevel="1" s="232">
      <c r="F241" s="78" t="n"/>
      <c r="G241" s="222" t="n"/>
      <c r="H241" s="222" t="n"/>
      <c r="I241" s="222" t="n"/>
      <c r="J241" s="222" t="n"/>
      <c r="K241" s="222" t="n"/>
      <c r="L241" s="222" t="n"/>
      <c r="M241" s="285">
        <f>$L$173</f>
        <v/>
      </c>
      <c r="N241" s="103">
        <f>$M$173</f>
        <v/>
      </c>
      <c r="O241" s="110">
        <f>O240+((P240-O240)*W240)+1</f>
        <v/>
      </c>
      <c r="P241" s="109">
        <f>O241+(((P231*UAT_DEV_PERCENT)/UAT_DEV_COUNT)*7)</f>
        <v/>
      </c>
      <c r="Q241" s="373" t="n"/>
      <c r="R241" s="372" t="n"/>
      <c r="S241" s="373" t="n">
        <v>1</v>
      </c>
      <c r="T241" s="371" t="n">
        <v>2</v>
      </c>
      <c r="U241" s="373" t="n">
        <v>1</v>
      </c>
      <c r="V241" s="374" t="n"/>
      <c r="W241" s="259" t="n">
        <v>1</v>
      </c>
      <c r="X241" s="222" t="n"/>
      <c r="Y241" s="352" t="n"/>
      <c r="Z241" s="352" t="n"/>
      <c r="AA241" s="352" t="n"/>
      <c r="AB241" s="100" t="n"/>
      <c r="AC241" s="103" t="n"/>
    </row>
    <row r="242" hidden="1" outlineLevel="1" s="232">
      <c r="F242" s="78" t="n"/>
      <c r="G242" s="222" t="n"/>
      <c r="H242" s="222" t="n"/>
      <c r="I242" s="222" t="n"/>
      <c r="J242" s="222" t="n"/>
      <c r="K242" s="222" t="n"/>
      <c r="L242" s="222" t="n"/>
      <c r="M242" s="285">
        <f>$L$196</f>
        <v/>
      </c>
      <c r="N242" s="103">
        <f>$M$196</f>
        <v/>
      </c>
      <c r="O242" s="111">
        <f>O241+((P241-O241)*W241)+1</f>
        <v/>
      </c>
      <c r="P242" s="118">
        <f>O242+(((P232*OTHER_TL_PERCENT)/OTHER_TL_COUNT)*7)</f>
        <v/>
      </c>
      <c r="Q242" s="377" t="n"/>
      <c r="R242" s="378" t="n">
        <v>0.5</v>
      </c>
      <c r="S242" s="379" t="n">
        <v>1</v>
      </c>
      <c r="T242" s="377" t="n"/>
      <c r="U242" s="377" t="n"/>
      <c r="V242" s="380" t="n"/>
      <c r="W242" s="257" t="n"/>
      <c r="X242" s="222" t="n"/>
      <c r="Y242" s="222" t="n"/>
      <c r="Z242" s="222" t="n"/>
      <c r="AA242" s="222" t="n"/>
      <c r="AB242" s="100" t="n"/>
      <c r="AC242" s="103" t="n"/>
    </row>
    <row r="243" hidden="1" outlineLevel="1" ht="15.5" customHeight="1" s="232">
      <c r="F243" s="78" t="n"/>
      <c r="G243" s="222" t="n">
        <v>1</v>
      </c>
      <c r="H243" s="222" t="n"/>
      <c r="I243" s="222" t="n"/>
      <c r="J243" s="222" t="n"/>
      <c r="K243" s="222" t="n"/>
      <c r="L243" s="241" t="n"/>
      <c r="M243" s="285" t="n"/>
      <c r="N243" s="241" t="n"/>
      <c r="O243" s="115" t="inlineStr">
        <is>
          <t>Automated</t>
        </is>
      </c>
      <c r="P243" s="124">
        <f>NETWORKDAYS(START_DATE,AUTOMATED_END_DATE)/5</f>
        <v/>
      </c>
      <c r="Q243" s="123" t="inlineStr">
        <is>
          <t>Weeks</t>
        </is>
      </c>
      <c r="R243" s="122" t="n"/>
      <c r="S243" s="117" t="inlineStr">
        <is>
          <t>Ending at:</t>
        </is>
      </c>
      <c r="T243" s="336">
        <f>AUTOMATED_END_DATE</f>
        <v/>
      </c>
      <c r="V243" s="258" t="n"/>
      <c r="W243" s="258" t="n"/>
      <c r="X243" s="258" t="n"/>
      <c r="Y243" s="241" t="n"/>
      <c r="Z243" s="241" t="n"/>
      <c r="AA243" s="241" t="n"/>
      <c r="AB243" s="103" t="n"/>
      <c r="AC243" s="103" t="n"/>
    </row>
    <row r="244" hidden="1" outlineLevel="1" ht="15.5" customHeight="1" s="232">
      <c r="F244" s="78" t="n"/>
      <c r="G244" s="222" t="n">
        <v>2</v>
      </c>
      <c r="H244" s="222" t="n"/>
      <c r="I244" s="222" t="n"/>
      <c r="J244" s="222" t="n"/>
      <c r="K244" s="222" t="n"/>
      <c r="L244" s="241" t="n"/>
      <c r="M244" s="285" t="n"/>
      <c r="N244" s="241" t="n"/>
      <c r="O244" s="115" t="inlineStr">
        <is>
          <t>Manual</t>
        </is>
      </c>
      <c r="P244" s="124">
        <f>NETWORKDAYS(START_DATE,MANUAL_END_DATE)/5</f>
        <v/>
      </c>
      <c r="Q244" s="123" t="inlineStr">
        <is>
          <t>Weeks</t>
        </is>
      </c>
      <c r="R244" s="116" t="n"/>
      <c r="S244" s="117" t="inlineStr">
        <is>
          <t>Ending at:</t>
        </is>
      </c>
      <c r="T244" s="336">
        <f>MANUAL_END_DATE</f>
        <v/>
      </c>
      <c r="V244" s="258" t="n"/>
      <c r="W244" s="258" t="n"/>
      <c r="X244" s="258" t="n"/>
      <c r="Y244" s="241" t="n"/>
      <c r="Z244" s="241" t="n"/>
      <c r="AA244" s="241" t="n"/>
      <c r="AB244" s="103" t="n"/>
      <c r="AC244" s="103" t="n"/>
    </row>
    <row r="245" hidden="1" outlineLevel="1" ht="15" customHeight="1" s="232">
      <c r="F245" s="78" t="n"/>
      <c r="G245" s="222" t="n"/>
      <c r="H245" s="222" t="n"/>
      <c r="I245" s="222" t="n"/>
      <c r="J245" s="222" t="n"/>
      <c r="K245" s="222" t="n"/>
      <c r="L245" s="241" t="n"/>
      <c r="M245" s="285" t="n"/>
      <c r="N245" s="241" t="n"/>
      <c r="O245" s="113" t="n"/>
      <c r="P245" s="66" t="n"/>
      <c r="Q245" s="114" t="n"/>
      <c r="R245" s="241" t="n"/>
      <c r="S245" s="241" t="n"/>
      <c r="T245" s="241" t="n"/>
      <c r="U245" s="241" t="n"/>
      <c r="V245" s="241" t="n"/>
      <c r="W245" s="241" t="n"/>
      <c r="X245" s="241" t="n"/>
      <c r="Y245" s="241" t="n"/>
      <c r="Z245" s="241" t="n"/>
      <c r="AA245" s="241" t="n"/>
      <c r="AB245" s="103" t="n"/>
      <c r="AC245" s="103" t="n"/>
    </row>
    <row r="246" hidden="1" outlineLevel="1" s="232">
      <c r="F246" s="78" t="n"/>
      <c r="G246" s="222" t="n">
        <v>3</v>
      </c>
      <c r="H246" s="222" t="n"/>
      <c r="I246" s="222" t="n"/>
      <c r="J246" s="222" t="n"/>
      <c r="K246" s="222" t="n"/>
      <c r="L246" s="241" t="n"/>
      <c r="M246" s="285" t="n"/>
      <c r="N246" s="103" t="n"/>
      <c r="O246" s="103" t="n"/>
      <c r="P246" s="241" t="n"/>
      <c r="Q246" s="241" t="n"/>
      <c r="R246" s="241" t="n"/>
      <c r="S246" s="75" t="inlineStr">
        <is>
          <t>For complete manual schedule details,</t>
        </is>
      </c>
      <c r="T246" s="76" t="inlineStr">
        <is>
          <t>click here.</t>
        </is>
      </c>
      <c r="U246" s="241" t="n"/>
      <c r="V246" s="241" t="n"/>
      <c r="W246" s="241" t="n"/>
      <c r="X246" s="241" t="n"/>
      <c r="Y246" s="241" t="n"/>
      <c r="Z246" s="241" t="n"/>
      <c r="AA246" s="241" t="n"/>
      <c r="AB246" s="103" t="n"/>
      <c r="AC246" s="103" t="n"/>
    </row>
    <row r="247" hidden="1" outlineLevel="1" s="232">
      <c r="F247" s="78" t="n"/>
      <c r="G247" s="222" t="n"/>
      <c r="H247" s="222" t="n"/>
      <c r="I247" s="222" t="n"/>
      <c r="J247" s="222" t="n"/>
      <c r="K247" s="222" t="n"/>
      <c r="L247" s="241" t="n"/>
      <c r="M247" s="285" t="n"/>
      <c r="N247" s="103" t="n"/>
      <c r="O247" s="103" t="n"/>
      <c r="P247" s="241" t="n"/>
      <c r="Q247" s="241" t="n"/>
      <c r="R247" s="241" t="n"/>
      <c r="S247" s="241" t="n"/>
      <c r="T247" s="241" t="n"/>
      <c r="U247" s="241" t="n"/>
      <c r="V247" s="241" t="n"/>
      <c r="W247" s="241" t="n"/>
      <c r="X247" s="241" t="n"/>
      <c r="Y247" s="241" t="n"/>
      <c r="Z247" s="241" t="n"/>
      <c r="AA247" s="241" t="n"/>
      <c r="AB247" s="103" t="n"/>
      <c r="AC247" s="103" t="n"/>
    </row>
    <row r="248" hidden="1" outlineLevel="1" ht="20.25" customFormat="1" customHeight="1" s="11">
      <c r="A248" s="94" t="n"/>
      <c r="B248" s="11" t="n"/>
      <c r="C248" s="78" t="n"/>
      <c r="D248" s="78" t="n"/>
      <c r="E248" s="78" t="n"/>
      <c r="F248" s="78" t="n"/>
      <c r="G248" s="43" t="n"/>
      <c r="H248" s="43" t="n"/>
      <c r="I248" s="43" t="n"/>
      <c r="J248" s="43" t="n"/>
      <c r="K248" s="43" t="n"/>
      <c r="L248" s="43" t="n"/>
      <c r="M248" s="281" t="n"/>
      <c r="N248" s="43" t="n"/>
      <c r="O248" s="43" t="n"/>
      <c r="P248" s="43" t="n"/>
      <c r="Q248" s="43" t="n"/>
      <c r="R248" s="43" t="n"/>
      <c r="S248" s="43" t="n"/>
      <c r="T248" s="43" t="n"/>
      <c r="U248" s="43" t="n"/>
      <c r="V248" s="43" t="n"/>
      <c r="W248" s="43" t="n"/>
      <c r="X248" s="43" t="n"/>
      <c r="Y248" s="43" t="n"/>
      <c r="Z248" s="43" t="n"/>
      <c r="AA248" s="43" t="n"/>
      <c r="AB248" s="43" t="n"/>
      <c r="AC248" s="43" t="n"/>
      <c r="AD248" s="60" t="n"/>
    </row>
    <row r="249" customFormat="1" s="11">
      <c r="A249" s="94" t="n"/>
      <c r="B249" s="11" t="n"/>
      <c r="C249" s="80" t="n"/>
      <c r="D249" s="80" t="n"/>
      <c r="E249" s="80" t="n"/>
      <c r="F249" s="78" t="n"/>
      <c r="M249" s="287" t="n"/>
      <c r="N249" s="60" t="n"/>
      <c r="O249" s="60" t="n"/>
      <c r="AB249" s="60" t="n"/>
      <c r="AC249" s="60" t="n"/>
      <c r="AD249" s="60" t="n"/>
    </row>
    <row r="250" collapsed="1" ht="20.25" customFormat="1" customHeight="1" s="11">
      <c r="A250" s="94" t="n"/>
      <c r="B250" s="11" t="n"/>
      <c r="C250" s="78" t="n"/>
      <c r="D250" s="78" t="n"/>
      <c r="E250" s="78" t="n"/>
      <c r="F250" s="78" t="n"/>
      <c r="G250" s="324" t="inlineStr">
        <is>
          <t>Notes</t>
        </is>
      </c>
      <c r="I250" s="324" t="n"/>
      <c r="J250" s="43" t="n"/>
      <c r="K250" s="43" t="n"/>
      <c r="L250" s="39" t="n"/>
      <c r="M250" s="289" t="inlineStr">
        <is>
          <t>Estimation Support Settings</t>
        </is>
      </c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9" t="n"/>
      <c r="X250" s="39" t="n"/>
      <c r="Y250" s="39" t="n"/>
      <c r="Z250" s="39" t="n"/>
      <c r="AA250" s="39" t="n"/>
      <c r="AB250" s="219">
        <f>TEMPLATE_NAME&amp;" "&amp;TEMPLATE_VER</f>
        <v/>
      </c>
      <c r="AC250" s="39" t="n"/>
      <c r="AD250" s="60" t="n"/>
    </row>
    <row r="251" hidden="1" outlineLevel="1" customFormat="1" s="11">
      <c r="A251" s="94" t="n"/>
      <c r="B251" s="11" t="n"/>
      <c r="C251" s="80" t="n"/>
      <c r="D251" s="80" t="n"/>
      <c r="E251" s="80" t="n"/>
      <c r="F251" s="78" t="n"/>
      <c r="G251" s="241" t="n"/>
      <c r="H251" s="241" t="n"/>
      <c r="I251" s="241" t="n"/>
      <c r="J251" s="241" t="n"/>
      <c r="K251" s="241" t="n"/>
      <c r="L251" s="241" t="n"/>
      <c r="M251" s="285" t="n"/>
      <c r="N251" s="103" t="n"/>
      <c r="O251" s="103" t="n"/>
      <c r="P251" s="241" t="n"/>
      <c r="Q251" s="241" t="n"/>
      <c r="R251" s="241" t="n"/>
      <c r="S251" s="241" t="n"/>
      <c r="T251" s="241" t="n"/>
      <c r="U251" s="241" t="n"/>
      <c r="V251" s="241" t="n"/>
      <c r="W251" s="241" t="n"/>
      <c r="X251" s="241" t="n"/>
      <c r="Y251" s="241" t="n"/>
      <c r="Z251" s="241" t="n"/>
      <c r="AA251" s="241" t="n"/>
      <c r="AB251" s="103" t="n"/>
      <c r="AC251" s="103" t="n"/>
      <c r="AD251" s="60" t="n"/>
    </row>
    <row r="252" hidden="1" outlineLevel="1" ht="15" customFormat="1" customHeight="1" s="11">
      <c r="A252" s="94" t="n"/>
      <c r="B252" s="11" t="n"/>
      <c r="C252" s="80" t="n"/>
      <c r="D252" s="80" t="n"/>
      <c r="E252" s="80" t="n"/>
      <c r="F252" s="78" t="n"/>
      <c r="G252" s="241" t="n"/>
      <c r="H252" s="241" t="n"/>
      <c r="I252" s="241" t="n"/>
      <c r="J252" s="241" t="n"/>
      <c r="K252" s="241" t="n"/>
      <c r="L252" s="241" t="n"/>
      <c r="M252" s="285" t="n"/>
      <c r="N252" s="142" t="inlineStr">
        <is>
          <t>RFP Details</t>
        </is>
      </c>
      <c r="O252" s="103" t="n"/>
      <c r="P252" s="241" t="n"/>
      <c r="Q252" s="241" t="n"/>
      <c r="R252" s="241" t="n"/>
      <c r="S252" s="241" t="n"/>
      <c r="T252" s="241" t="n"/>
      <c r="U252" s="241" t="n"/>
      <c r="V252" s="241" t="n"/>
      <c r="W252" s="241" t="n"/>
      <c r="X252" s="241" t="n"/>
      <c r="Y252" s="241" t="n"/>
      <c r="Z252" s="241" t="n"/>
      <c r="AA252" s="241" t="n"/>
      <c r="AB252" s="103" t="n"/>
      <c r="AC252" s="103" t="n"/>
      <c r="AD252" s="60" t="n"/>
    </row>
    <row r="253" hidden="1" outlineLevel="1" ht="14.25" customFormat="1" customHeight="1" s="11">
      <c r="A253" s="94" t="n"/>
      <c r="B253" s="11" t="n"/>
      <c r="C253" s="78" t="n"/>
      <c r="D253" s="78" t="n"/>
      <c r="E253" s="78" t="n"/>
      <c r="F253" s="78" t="n"/>
      <c r="G253" s="241" t="n"/>
      <c r="H253" s="241" t="n"/>
      <c r="I253" s="241" t="n"/>
      <c r="J253" s="241" t="n"/>
      <c r="K253" s="241" t="n"/>
      <c r="L253" s="241" t="n"/>
      <c r="M253" s="285" t="n"/>
      <c r="N253" s="157" t="inlineStr">
        <is>
          <t>Client Name</t>
        </is>
      </c>
      <c r="O253" s="188" t="inlineStr">
        <is>
          <t>Akshay eCommerce (Demo)</t>
        </is>
      </c>
      <c r="P253" s="189" t="n"/>
      <c r="Q253" s="189" t="n"/>
      <c r="R253" s="188" t="n"/>
      <c r="S253" s="189" t="n"/>
      <c r="T253" s="189" t="n"/>
      <c r="U253" s="189" t="n"/>
      <c r="V253" s="189" t="n"/>
      <c r="W253" s="189" t="n"/>
      <c r="X253" s="241" t="n"/>
      <c r="Y253" s="241" t="n"/>
      <c r="Z253" s="241" t="n"/>
      <c r="AA253" s="241" t="n"/>
      <c r="AB253" s="241" t="n"/>
      <c r="AC253" s="103" t="n"/>
      <c r="AD253" s="60" t="n"/>
    </row>
    <row r="254" hidden="1" outlineLevel="1" ht="14.25" customFormat="1" customHeight="1" s="11">
      <c r="A254" s="94" t="n"/>
      <c r="B254" s="11" t="n"/>
      <c r="C254" s="78" t="n"/>
      <c r="D254" s="78" t="n"/>
      <c r="E254" s="78" t="n"/>
      <c r="F254" s="78" t="n"/>
      <c r="G254" s="241" t="n"/>
      <c r="H254" s="241" t="n"/>
      <c r="I254" s="241" t="n"/>
      <c r="J254" s="241" t="n"/>
      <c r="K254" s="241" t="n"/>
      <c r="L254" s="241" t="n"/>
      <c r="M254" s="285" t="n"/>
      <c r="N254" s="157" t="inlineStr">
        <is>
          <t>Project Name</t>
        </is>
      </c>
      <c r="O254" s="188" t="inlineStr">
        <is>
          <t>Cloud-native eCommerce Platform on AWS</t>
        </is>
      </c>
      <c r="P254" s="189" t="n"/>
      <c r="Q254" s="189" t="n"/>
      <c r="R254" s="189" t="n"/>
      <c r="S254" s="189" t="n"/>
      <c r="T254" s="189" t="n"/>
      <c r="U254" s="189" t="n"/>
      <c r="V254" s="189" t="n"/>
      <c r="W254" s="189" t="n"/>
      <c r="X254" s="241" t="n"/>
      <c r="Y254" s="241" t="n"/>
      <c r="Z254" s="241" t="n"/>
      <c r="AA254" s="241" t="n"/>
      <c r="AB254" s="241" t="n"/>
      <c r="AC254" s="103" t="n"/>
      <c r="AD254" s="60" t="n"/>
    </row>
    <row r="255" hidden="1" outlineLevel="1" ht="14.25" customFormat="1" customHeight="1" s="11">
      <c r="A255" s="94" t="n"/>
      <c r="B255" s="11" t="n"/>
      <c r="C255" s="78" t="n"/>
      <c r="D255" s="78" t="n"/>
      <c r="E255" s="78" t="n"/>
      <c r="F255" s="78" t="n"/>
      <c r="G255" s="241" t="n"/>
      <c r="H255" s="241" t="n"/>
      <c r="I255" s="241" t="n"/>
      <c r="J255" s="241" t="n"/>
      <c r="K255" s="241" t="n"/>
      <c r="L255" s="241" t="n"/>
      <c r="M255" s="285" t="n"/>
      <c r="N255" s="157" t="inlineStr">
        <is>
          <t>Platform</t>
        </is>
      </c>
      <c r="O255" s="188" t="inlineStr">
        <is>
          <t>AWS (S3 + CloudFront + WAF + EKS)</t>
        </is>
      </c>
      <c r="P255" s="189" t="n"/>
      <c r="Q255" s="189" t="n"/>
      <c r="R255" s="189" t="n"/>
      <c r="S255" s="140" t="n"/>
      <c r="T255" s="140" t="n"/>
      <c r="U255" s="140" t="n"/>
      <c r="V255" s="189" t="n"/>
      <c r="W255" s="189" t="n"/>
      <c r="X255" s="241" t="n"/>
      <c r="Y255" s="241" t="n"/>
      <c r="Z255" s="241" t="n"/>
      <c r="AA255" s="241" t="n"/>
      <c r="AB255" s="241" t="n"/>
      <c r="AC255" s="103" t="n"/>
      <c r="AD255" s="60" t="n"/>
    </row>
    <row r="256" hidden="1" outlineLevel="1" ht="14.25" customFormat="1" customHeight="1" s="11">
      <c r="A256" s="94" t="n"/>
      <c r="B256" s="11" t="n"/>
      <c r="C256" s="78" t="n"/>
      <c r="D256" s="78" t="n"/>
      <c r="E256" s="78" t="n"/>
      <c r="F256" s="78" t="n"/>
      <c r="G256" s="241" t="n"/>
      <c r="H256" s="241" t="n"/>
      <c r="I256" s="241" t="n"/>
      <c r="J256" s="241" t="n"/>
      <c r="K256" s="241" t="n"/>
      <c r="L256" s="241" t="n"/>
      <c r="M256" s="285" t="n"/>
      <c r="N256" s="157" t="inlineStr">
        <is>
          <t>Project Type</t>
        </is>
      </c>
      <c r="O256" s="188" t="inlineStr">
        <is>
          <t>Development</t>
        </is>
      </c>
      <c r="P256" s="189" t="n"/>
      <c r="Q256" s="189" t="n"/>
      <c r="R256" s="189" t="n"/>
      <c r="S256" s="140" t="n"/>
      <c r="T256" s="140" t="n"/>
      <c r="U256" s="140" t="n"/>
      <c r="V256" s="189" t="n"/>
      <c r="W256" s="189" t="n"/>
      <c r="X256" s="241" t="n"/>
      <c r="Y256" s="241" t="n"/>
      <c r="Z256" s="241" t="n"/>
      <c r="AA256" s="241" t="n"/>
      <c r="AB256" s="241" t="n"/>
      <c r="AC256" s="103" t="n"/>
      <c r="AD256" s="60" t="n"/>
    </row>
    <row r="257" hidden="1" outlineLevel="1" ht="14.25" customFormat="1" customHeight="1" s="11">
      <c r="A257" s="94" t="n"/>
      <c r="B257" s="11" t="n"/>
      <c r="C257" s="78" t="n"/>
      <c r="D257" s="78" t="n"/>
      <c r="E257" s="78" t="n"/>
      <c r="F257" s="78" t="n"/>
      <c r="G257" s="241" t="n"/>
      <c r="H257" s="241" t="n"/>
      <c r="I257" s="241" t="n"/>
      <c r="J257" s="241" t="n"/>
      <c r="K257" s="241" t="n"/>
      <c r="L257" s="241" t="n"/>
      <c r="M257" s="285" t="n"/>
      <c r="N257" s="157" t="inlineStr">
        <is>
          <t>RFP Name</t>
        </is>
      </c>
      <c r="O257" s="188" t="inlineStr">
        <is>
          <t>eCommerce website: serverless frontend + EKS microservices (HA/DR, CI/CD)</t>
        </is>
      </c>
      <c r="P257" s="189" t="n"/>
      <c r="Q257" s="189" t="n"/>
      <c r="R257" s="189" t="n"/>
      <c r="S257" s="140" t="n"/>
      <c r="T257" s="140" t="n"/>
      <c r="U257" s="140" t="n"/>
      <c r="V257" s="189" t="n"/>
      <c r="W257" s="189" t="n"/>
      <c r="X257" s="241" t="n"/>
      <c r="Y257" s="241" t="n"/>
      <c r="Z257" s="241" t="n"/>
      <c r="AA257" s="241" t="n"/>
      <c r="AB257" s="241" t="n"/>
      <c r="AC257" s="103" t="n"/>
      <c r="AD257" s="60" t="n"/>
    </row>
    <row r="258" hidden="1" outlineLevel="1" ht="14.25" customFormat="1" customHeight="1" s="11">
      <c r="A258" s="94" t="n"/>
      <c r="B258" s="11" t="n"/>
      <c r="C258" s="78" t="n"/>
      <c r="D258" s="78" t="n"/>
      <c r="E258" s="78" t="n"/>
      <c r="F258" s="78" t="n"/>
      <c r="G258" s="241" t="n"/>
      <c r="H258" s="241" t="n"/>
      <c r="I258" s="241" t="n"/>
      <c r="J258" s="241" t="n"/>
      <c r="K258" s="241" t="n"/>
      <c r="L258" s="241" t="n"/>
      <c r="M258" s="285" t="n"/>
      <c r="N258" s="157" t="inlineStr">
        <is>
          <t>Is Key Opp?</t>
        </is>
      </c>
      <c r="O258" s="188" t="inlineStr">
        <is>
          <t>No</t>
        </is>
      </c>
      <c r="P258" s="189" t="n"/>
      <c r="Q258" s="189" t="n"/>
      <c r="R258" s="188" t="n"/>
      <c r="S258" s="140" t="n"/>
      <c r="T258" s="140" t="n"/>
      <c r="U258" s="140" t="n"/>
      <c r="V258" s="189" t="n"/>
      <c r="W258" s="189" t="n"/>
      <c r="X258" s="241" t="n"/>
      <c r="Y258" s="241" t="n"/>
      <c r="Z258" s="241" t="n"/>
      <c r="AA258" s="241" t="n"/>
      <c r="AB258" s="241" t="n"/>
      <c r="AC258" s="103" t="n"/>
      <c r="AD258" s="60" t="n"/>
    </row>
    <row r="259" hidden="1" outlineLevel="1" ht="14.25" customFormat="1" customHeight="1" s="11">
      <c r="A259" s="94" t="n"/>
      <c r="B259" s="11" t="n"/>
      <c r="C259" s="78" t="n"/>
      <c r="D259" s="78" t="n"/>
      <c r="E259" s="78" t="n"/>
      <c r="F259" s="78" t="n"/>
      <c r="G259" s="241" t="n"/>
      <c r="H259" s="241" t="n"/>
      <c r="I259" s="241" t="n"/>
      <c r="J259" s="241" t="n"/>
      <c r="K259" s="241" t="n"/>
      <c r="L259" s="241" t="n"/>
      <c r="M259" s="285" t="n"/>
      <c r="N259" s="157" t="inlineStr">
        <is>
          <t>Geography</t>
        </is>
      </c>
      <c r="O259" s="188" t="inlineStr">
        <is>
          <t>USA</t>
        </is>
      </c>
      <c r="P259" s="189" t="n"/>
      <c r="Q259" s="189" t="n"/>
      <c r="R259" s="189" t="n"/>
      <c r="S259" s="140" t="n"/>
      <c r="T259" s="140" t="n"/>
      <c r="U259" s="140" t="n"/>
      <c r="V259" s="189" t="n"/>
      <c r="W259" s="189" t="n"/>
      <c r="X259" s="241" t="n"/>
      <c r="Y259" s="241" t="n"/>
      <c r="Z259" s="241" t="n"/>
      <c r="AA259" s="241" t="n"/>
      <c r="AB259" s="241" t="n"/>
      <c r="AC259" s="103" t="n"/>
      <c r="AD259" s="60" t="n"/>
    </row>
    <row r="260" hidden="1" outlineLevel="1" ht="14.25" customFormat="1" customHeight="1" s="11">
      <c r="A260" s="94" t="n"/>
      <c r="B260" s="11" t="n"/>
      <c r="C260" s="78" t="n"/>
      <c r="D260" s="78" t="n"/>
      <c r="E260" s="78" t="n"/>
      <c r="F260" s="78" t="n"/>
      <c r="G260" s="241" t="n"/>
      <c r="H260" s="241" t="n"/>
      <c r="I260" s="241" t="n"/>
      <c r="J260" s="241" t="n"/>
      <c r="K260" s="241" t="n"/>
      <c r="L260" s="241" t="n"/>
      <c r="M260" s="285" t="n"/>
      <c r="N260" s="157" t="inlineStr">
        <is>
          <t>Currency</t>
        </is>
      </c>
      <c r="O260" s="188" t="inlineStr">
        <is>
          <t>USD</t>
        </is>
      </c>
      <c r="P260" s="189" t="n"/>
      <c r="Q260" s="189" t="n"/>
      <c r="R260" s="189" t="n"/>
      <c r="S260" s="140" t="n"/>
      <c r="T260" s="140" t="n"/>
      <c r="U260" s="140" t="n"/>
      <c r="V260" s="189" t="n"/>
      <c r="W260" s="189" t="n"/>
      <c r="X260" s="241" t="n"/>
      <c r="Y260" s="241" t="n"/>
      <c r="Z260" s="241" t="n"/>
      <c r="AA260" s="241" t="n"/>
      <c r="AB260" s="241" t="n"/>
      <c r="AC260" s="103" t="n"/>
      <c r="AD260" s="60" t="n"/>
    </row>
    <row r="261" hidden="1" outlineLevel="1" ht="14.25" customFormat="1" customHeight="1" s="11">
      <c r="A261" s="94" t="n"/>
      <c r="B261" s="11" t="n"/>
      <c r="C261" s="78" t="n"/>
      <c r="D261" s="78" t="n"/>
      <c r="E261" s="78" t="n"/>
      <c r="F261" s="78" t="n"/>
      <c r="G261" s="241" t="n"/>
      <c r="H261" s="241" t="n"/>
      <c r="I261" s="241" t="n"/>
      <c r="J261" s="241" t="n"/>
      <c r="K261" s="241" t="n"/>
      <c r="L261" s="241" t="n"/>
      <c r="M261" s="285" t="n"/>
      <c r="N261" s="157" t="n"/>
      <c r="O261" s="241" t="n"/>
      <c r="P261" s="241" t="n"/>
      <c r="Q261" s="241" t="n"/>
      <c r="R261" s="241" t="n"/>
      <c r="S261" s="332" t="n"/>
      <c r="T261" s="332" t="n"/>
      <c r="U261" s="332" t="n"/>
      <c r="V261" s="332" t="n"/>
      <c r="W261" s="332" t="n"/>
      <c r="X261" s="241" t="n"/>
      <c r="Y261" s="241" t="n"/>
      <c r="Z261" s="241" t="n"/>
      <c r="AA261" s="241" t="n"/>
      <c r="AB261" s="332" t="n"/>
      <c r="AC261" s="103" t="n"/>
      <c r="AD261" s="60" t="n"/>
    </row>
    <row r="262" hidden="1" outlineLevel="1" ht="15" customFormat="1" customHeight="1" s="11">
      <c r="A262" s="94" t="n"/>
      <c r="B262" s="11" t="n"/>
      <c r="C262" s="80" t="n"/>
      <c r="D262" s="80" t="n"/>
      <c r="E262" s="80" t="n"/>
      <c r="F262" s="78" t="n"/>
      <c r="G262" s="241" t="n"/>
      <c r="H262" s="241" t="n"/>
      <c r="I262" s="241" t="n"/>
      <c r="J262" s="241" t="n"/>
      <c r="K262" s="241" t="n"/>
      <c r="L262" s="241" t="n"/>
      <c r="M262" s="285" t="n"/>
      <c r="N262" s="332">
        <f>"Total effort is "&amp;TEXT(TOTAL_EFFORT,"##,##,###")&amp;" PDs. How much up or down it can safely be without being way off?"</f>
        <v/>
      </c>
      <c r="O262" s="142" t="inlineStr">
        <is>
          <t>Minimum (-)</t>
        </is>
      </c>
      <c r="P262" s="142" t="inlineStr">
        <is>
          <t>Maximum (+)</t>
        </is>
      </c>
      <c r="Q262" s="241" t="n"/>
      <c r="R262" s="241" t="n"/>
      <c r="S262" s="332" t="n"/>
      <c r="T262" s="332" t="n"/>
      <c r="U262" s="332" t="n"/>
      <c r="V262" s="332" t="n"/>
      <c r="W262" s="332" t="n"/>
      <c r="X262" s="241" t="n"/>
      <c r="Y262" s="241" t="n"/>
      <c r="Z262" s="241" t="n"/>
      <c r="AA262" s="241" t="n"/>
      <c r="AB262" s="103" t="n"/>
      <c r="AC262" s="103" t="n"/>
      <c r="AD262" s="60" t="n"/>
    </row>
    <row r="263" hidden="1" outlineLevel="1" ht="15" customFormat="1" customHeight="1" s="11">
      <c r="A263" s="94" t="n"/>
      <c r="B263" s="11" t="n"/>
      <c r="C263" s="80" t="n"/>
      <c r="D263" s="80" t="n"/>
      <c r="E263" s="80" t="n"/>
      <c r="F263" s="78" t="n"/>
      <c r="G263" s="241" t="n"/>
      <c r="H263" s="241" t="n"/>
      <c r="I263" s="241" t="n"/>
      <c r="J263" s="241" t="n"/>
      <c r="K263" s="241" t="n"/>
      <c r="L263" s="241" t="n"/>
      <c r="M263" s="285" t="n"/>
      <c r="O263" s="151" t="n">
        <v>-0.2</v>
      </c>
      <c r="P263" s="152" t="n">
        <v>0.2</v>
      </c>
      <c r="Q263" s="241" t="n"/>
      <c r="R263" s="241" t="n"/>
      <c r="S263" s="332" t="n"/>
      <c r="T263" s="332" t="n"/>
      <c r="U263" s="332" t="n"/>
      <c r="V263" s="332" t="n"/>
      <c r="W263" s="332" t="n"/>
      <c r="X263" s="241" t="n"/>
      <c r="Y263" s="241" t="n"/>
      <c r="Z263" s="241" t="n"/>
      <c r="AA263" s="241" t="n"/>
      <c r="AB263" s="103" t="n"/>
      <c r="AC263" s="103" t="n"/>
      <c r="AD263" s="60" t="n"/>
    </row>
    <row r="264" hidden="1" outlineLevel="1" customFormat="1" s="11">
      <c r="A264" s="94" t="n"/>
      <c r="B264" s="11" t="n"/>
      <c r="C264" s="80" t="n"/>
      <c r="D264" s="80" t="n"/>
      <c r="E264" s="80" t="n"/>
      <c r="F264" s="78" t="n"/>
      <c r="G264" s="241" t="n"/>
      <c r="H264" s="241" t="n"/>
      <c r="I264" s="241" t="n"/>
      <c r="J264" s="241" t="n"/>
      <c r="K264" s="241" t="n"/>
      <c r="L264" s="241" t="n"/>
      <c r="M264" s="285" t="n"/>
      <c r="O264" s="103" t="n"/>
      <c r="P264" s="241" t="n"/>
      <c r="Q264" s="241" t="n"/>
      <c r="R264" s="241" t="n"/>
      <c r="S264" s="241" t="n"/>
      <c r="T264" s="241" t="n"/>
      <c r="U264" s="241" t="n"/>
      <c r="V264" s="241" t="n"/>
      <c r="W264" s="241" t="n"/>
      <c r="X264" s="241" t="n"/>
      <c r="Y264" s="241" t="n"/>
      <c r="Z264" s="241" t="n"/>
      <c r="AA264" s="241" t="n"/>
      <c r="AB264" s="103" t="n"/>
      <c r="AC264" s="103" t="n"/>
      <c r="AD264" s="60" t="n"/>
    </row>
    <row r="265" hidden="1" outlineLevel="1" customFormat="1" s="11">
      <c r="A265" s="94" t="n"/>
      <c r="B265" s="11" t="n"/>
      <c r="C265" s="80" t="n"/>
      <c r="D265" s="80" t="n"/>
      <c r="E265" s="80" t="n"/>
      <c r="F265" s="78" t="n"/>
      <c r="G265" s="241" t="n"/>
      <c r="H265" s="241" t="n"/>
      <c r="I265" s="241" t="n"/>
      <c r="J265" s="241" t="n"/>
      <c r="K265" s="241" t="n"/>
      <c r="L265" s="241" t="n"/>
      <c r="M265" s="285" t="n"/>
      <c r="N265" s="161" t="inlineStr">
        <is>
          <t>Inbuilt Names (to use in Formula)</t>
        </is>
      </c>
      <c r="O265" s="332" t="n"/>
      <c r="P265" s="162" t="inlineStr">
        <is>
          <t>Special Unit Names</t>
        </is>
      </c>
      <c r="Q265" s="241" t="n"/>
      <c r="R265" s="241" t="n"/>
      <c r="S265" s="241" t="n"/>
      <c r="T265" s="241" t="n"/>
      <c r="U265" s="241" t="n"/>
      <c r="V265" s="241" t="n"/>
      <c r="W265" s="241" t="n"/>
      <c r="X265" s="241" t="n"/>
      <c r="Y265" s="241" t="n"/>
      <c r="Z265" s="241" t="n"/>
      <c r="AA265" s="241" t="n"/>
      <c r="AB265" s="103" t="n"/>
      <c r="AC265" s="103" t="n"/>
      <c r="AD265" s="60" t="n"/>
    </row>
    <row r="266" hidden="1" outlineLevel="1" customFormat="1" s="11">
      <c r="A266" s="94" t="n"/>
      <c r="B266" s="11" t="n"/>
      <c r="C266" s="80" t="n"/>
      <c r="D266" s="80" t="n"/>
      <c r="E266" s="80" t="n"/>
      <c r="F266" s="78" t="n"/>
      <c r="G266" s="241" t="n"/>
      <c r="H266" s="241" t="n"/>
      <c r="I266" s="241" t="n"/>
      <c r="J266" s="241" t="n"/>
      <c r="K266" s="241" t="n"/>
      <c r="L266" s="241" t="n"/>
      <c r="M266" s="285" t="n"/>
      <c r="N266" s="263" t="inlineStr">
        <is>
          <t>TOTAL_COST</t>
        </is>
      </c>
      <c r="O266" s="241" t="n"/>
      <c r="P266" s="160" t="inlineStr">
        <is>
          <t>As Dev Effort %</t>
        </is>
      </c>
      <c r="Q266" s="141" t="inlineStr">
        <is>
          <t>(Do not use inside development phase)</t>
        </is>
      </c>
      <c r="R266" s="241" t="n"/>
      <c r="S266" s="241" t="n"/>
      <c r="T266" s="241" t="n"/>
      <c r="U266" s="241" t="n"/>
      <c r="V266" s="241" t="n"/>
      <c r="W266" s="241" t="n"/>
      <c r="X266" s="241" t="n"/>
      <c r="Y266" s="241" t="n"/>
      <c r="Z266" s="241" t="n"/>
      <c r="AA266" s="241" t="n"/>
      <c r="AB266" s="241" t="n"/>
      <c r="AC266" s="103" t="n"/>
      <c r="AD266" s="60" t="n"/>
    </row>
    <row r="267" hidden="1" outlineLevel="1" customFormat="1" s="11">
      <c r="A267" s="94" t="n"/>
      <c r="B267" s="11" t="n"/>
      <c r="C267" s="80" t="n"/>
      <c r="D267" s="80" t="n"/>
      <c r="E267" s="80" t="n"/>
      <c r="F267" s="78" t="n"/>
      <c r="G267" s="241" t="n"/>
      <c r="H267" s="241" t="n"/>
      <c r="I267" s="241" t="n"/>
      <c r="J267" s="241" t="n"/>
      <c r="K267" s="241" t="n"/>
      <c r="L267" s="241" t="n"/>
      <c r="M267" s="285" t="n"/>
      <c r="N267" s="263" t="inlineStr">
        <is>
          <t>REQ_COST</t>
        </is>
      </c>
      <c r="O267" s="241" t="n"/>
      <c r="P267" s="160" t="inlineStr">
        <is>
          <t>As Duration %</t>
        </is>
      </c>
      <c r="Q267" s="141" t="inlineStr">
        <is>
          <t>(Uses manual duration)</t>
        </is>
      </c>
      <c r="R267" s="241" t="n"/>
      <c r="S267" s="241" t="n"/>
      <c r="T267" s="241" t="n"/>
      <c r="U267" s="241" t="n"/>
      <c r="V267" s="241" t="n"/>
      <c r="W267" s="241" t="n"/>
      <c r="X267" s="241" t="n"/>
      <c r="Y267" s="241" t="n"/>
      <c r="Z267" s="241" t="n"/>
      <c r="AA267" s="241" t="n"/>
      <c r="AB267" s="241" t="n"/>
      <c r="AC267" s="103" t="n"/>
      <c r="AD267" s="60" t="n"/>
    </row>
    <row r="268" hidden="1" outlineLevel="1" customFormat="1" s="11">
      <c r="A268" s="94" t="n"/>
      <c r="B268" s="11" t="n"/>
      <c r="C268" s="80" t="n"/>
      <c r="D268" s="80" t="n"/>
      <c r="E268" s="80" t="n"/>
      <c r="F268" s="78" t="n"/>
      <c r="G268" s="241" t="n"/>
      <c r="H268" s="241" t="n"/>
      <c r="I268" s="241" t="n"/>
      <c r="J268" s="241" t="n"/>
      <c r="K268" s="241" t="n"/>
      <c r="L268" s="241" t="n"/>
      <c r="M268" s="285" t="n"/>
      <c r="N268" s="263" t="inlineStr">
        <is>
          <t>DESIGN_COST</t>
        </is>
      </c>
      <c r="O268" s="241" t="n"/>
      <c r="P268" s="241" t="n"/>
      <c r="Q268" s="241" t="n"/>
      <c r="R268" s="241" t="n"/>
      <c r="S268" s="241" t="n"/>
      <c r="T268" s="241" t="n"/>
      <c r="U268" s="160" t="n"/>
      <c r="V268" s="241" t="n"/>
      <c r="W268" s="241" t="n"/>
      <c r="X268" s="241" t="n"/>
      <c r="Y268" s="241" t="n"/>
      <c r="Z268" s="241" t="n"/>
      <c r="AA268" s="241" t="n"/>
      <c r="AB268" s="241" t="n"/>
      <c r="AC268" s="103" t="n"/>
      <c r="AD268" s="60" t="n"/>
    </row>
    <row r="269" hidden="1" outlineLevel="1" ht="15" customFormat="1" customHeight="1" s="11">
      <c r="A269" s="94" t="n"/>
      <c r="B269" s="11" t="n"/>
      <c r="C269" s="80" t="n"/>
      <c r="D269" s="80" t="n"/>
      <c r="E269" s="80" t="n"/>
      <c r="F269" s="78" t="n"/>
      <c r="G269" s="241" t="n"/>
      <c r="H269" s="241" t="n"/>
      <c r="I269" s="241" t="n"/>
      <c r="J269" s="241" t="n"/>
      <c r="K269" s="241" t="n"/>
      <c r="L269" s="241" t="n"/>
      <c r="M269" s="285" t="n"/>
      <c r="N269" s="263" t="inlineStr">
        <is>
          <t>DEV_COST</t>
        </is>
      </c>
      <c r="O269" s="241" t="n"/>
      <c r="P269" s="241" t="n"/>
      <c r="Q269" s="241" t="n"/>
      <c r="R269" s="241" t="n"/>
      <c r="S269" s="241" t="n"/>
      <c r="T269" s="241" t="n"/>
      <c r="U269" s="241" t="n"/>
      <c r="V269" s="241" t="n"/>
      <c r="W269" s="241" t="n"/>
      <c r="X269" s="241" t="n"/>
      <c r="Y269" s="241" t="n"/>
      <c r="Z269" s="241" t="n"/>
      <c r="AA269" s="241" t="n"/>
      <c r="AB269" s="241" t="n"/>
      <c r="AC269" s="103" t="n"/>
      <c r="AD269" s="60" t="n"/>
    </row>
    <row r="270" hidden="1" outlineLevel="1" customFormat="1" s="11">
      <c r="A270" s="94" t="n"/>
      <c r="B270" s="11" t="n"/>
      <c r="C270" s="80" t="n"/>
      <c r="D270" s="80" t="n"/>
      <c r="E270" s="80" t="n"/>
      <c r="F270" s="78" t="n"/>
      <c r="G270" s="241" t="n"/>
      <c r="H270" s="241" t="n"/>
      <c r="I270" s="241" t="n"/>
      <c r="J270" s="241" t="n"/>
      <c r="K270" s="241" t="n"/>
      <c r="L270" s="241" t="n"/>
      <c r="M270" s="285" t="n"/>
      <c r="N270" s="263" t="inlineStr">
        <is>
          <t>QA_COST</t>
        </is>
      </c>
      <c r="O270" s="241" t="n"/>
      <c r="P270" s="241" t="n"/>
      <c r="Q270" s="241" t="n"/>
      <c r="R270" s="241" t="n"/>
      <c r="S270" s="241" t="n"/>
      <c r="T270" s="241" t="n"/>
      <c r="U270" s="241" t="n"/>
      <c r="V270" s="241" t="n"/>
      <c r="W270" s="241" t="n"/>
      <c r="X270" s="241" t="n"/>
      <c r="Y270" s="241" t="n"/>
      <c r="Z270" s="241" t="n"/>
      <c r="AA270" s="241" t="n"/>
      <c r="AB270" s="241" t="n"/>
      <c r="AC270" s="103" t="n"/>
      <c r="AD270" s="60" t="n"/>
    </row>
    <row r="271" hidden="1" outlineLevel="1" customFormat="1" s="11">
      <c r="A271" s="94" t="n"/>
      <c r="B271" s="11" t="n"/>
      <c r="C271" s="80" t="n"/>
      <c r="D271" s="80" t="n"/>
      <c r="E271" s="80" t="n"/>
      <c r="F271" s="78" t="n"/>
      <c r="G271" s="241" t="n"/>
      <c r="H271" s="241" t="n"/>
      <c r="I271" s="241" t="n"/>
      <c r="J271" s="241" t="n"/>
      <c r="K271" s="241" t="n"/>
      <c r="L271" s="241" t="n"/>
      <c r="M271" s="285" t="n"/>
      <c r="N271" s="263" t="inlineStr">
        <is>
          <t>UAT_COST</t>
        </is>
      </c>
      <c r="O271" s="241" t="n"/>
      <c r="P271" s="241" t="n"/>
      <c r="Q271" s="241" t="n"/>
      <c r="R271" s="241" t="n"/>
      <c r="S271" s="241" t="n"/>
      <c r="T271" s="241" t="n"/>
      <c r="U271" s="241" t="n"/>
      <c r="V271" s="241" t="n"/>
      <c r="W271" s="241" t="n"/>
      <c r="X271" s="241" t="n"/>
      <c r="Y271" s="241" t="n"/>
      <c r="Z271" s="241" t="n"/>
      <c r="AA271" s="241" t="n"/>
      <c r="AB271" s="241" t="n"/>
      <c r="AC271" s="103" t="n"/>
      <c r="AD271" s="60" t="n"/>
    </row>
    <row r="272" hidden="1" outlineLevel="1" customFormat="1" s="11">
      <c r="A272" s="94" t="n"/>
      <c r="B272" s="11" t="n"/>
      <c r="C272" s="80" t="n"/>
      <c r="D272" s="80" t="n"/>
      <c r="E272" s="80" t="n"/>
      <c r="F272" s="78" t="n"/>
      <c r="G272" s="241" t="n"/>
      <c r="H272" s="241" t="n"/>
      <c r="I272" s="241" t="n"/>
      <c r="J272" s="241" t="n"/>
      <c r="K272" s="241" t="n"/>
      <c r="L272" s="241" t="n"/>
      <c r="M272" s="285" t="n"/>
      <c r="N272" s="263" t="inlineStr">
        <is>
          <t>OTHER_COST</t>
        </is>
      </c>
      <c r="O272" s="241" t="n"/>
      <c r="P272" s="241" t="n"/>
      <c r="Q272" s="241" t="n"/>
      <c r="R272" s="241" t="n"/>
      <c r="S272" s="241" t="n"/>
      <c r="T272" s="241" t="n"/>
      <c r="U272" s="241" t="n"/>
      <c r="V272" s="241" t="n"/>
      <c r="W272" s="241" t="n"/>
      <c r="X272" s="241" t="n"/>
      <c r="Y272" s="241" t="n"/>
      <c r="Z272" s="241" t="n"/>
      <c r="AA272" s="241" t="n"/>
      <c r="AB272" s="241" t="n"/>
      <c r="AC272" s="103" t="n"/>
      <c r="AD272" s="60" t="n"/>
    </row>
    <row r="273" hidden="1" outlineLevel="1" customFormat="1" s="11">
      <c r="A273" s="94" t="n"/>
      <c r="B273" s="11" t="n"/>
      <c r="C273" s="80" t="n"/>
      <c r="D273" s="80" t="n"/>
      <c r="E273" s="80" t="n"/>
      <c r="F273" s="78" t="n"/>
      <c r="G273" s="241" t="n"/>
      <c r="H273" s="241" t="n"/>
      <c r="I273" s="241" t="n"/>
      <c r="J273" s="241" t="n"/>
      <c r="K273" s="241" t="n"/>
      <c r="L273" s="241" t="n"/>
      <c r="M273" s="285" t="n"/>
      <c r="N273" s="263" t="inlineStr">
        <is>
          <t>TOTAL_EFFORT</t>
        </is>
      </c>
      <c r="O273" s="103" t="n"/>
      <c r="P273" s="141" t="n"/>
      <c r="Q273" s="241" t="n"/>
      <c r="R273" s="241" t="n"/>
      <c r="S273" s="241" t="n"/>
      <c r="T273" s="241" t="n"/>
      <c r="U273" s="241" t="n"/>
      <c r="V273" s="241" t="n"/>
      <c r="W273" s="241" t="n"/>
      <c r="X273" s="241" t="n"/>
      <c r="Y273" s="241" t="n"/>
      <c r="Z273" s="241" t="n"/>
      <c r="AA273" s="241" t="n"/>
      <c r="AB273" s="241" t="n"/>
      <c r="AC273" s="103" t="n"/>
      <c r="AD273" s="60" t="n"/>
    </row>
    <row r="274" hidden="1" outlineLevel="1" customFormat="1" s="11">
      <c r="A274" s="94" t="n"/>
      <c r="B274" s="11" t="n"/>
      <c r="C274" s="80" t="n"/>
      <c r="D274" s="80" t="n"/>
      <c r="E274" s="80" t="n"/>
      <c r="F274" s="78" t="n"/>
      <c r="G274" s="241" t="n"/>
      <c r="H274" s="241" t="n"/>
      <c r="I274" s="241" t="n"/>
      <c r="J274" s="241" t="n"/>
      <c r="K274" s="241" t="n"/>
      <c r="L274" s="241" t="n"/>
      <c r="M274" s="285" t="n"/>
      <c r="N274" s="263" t="inlineStr">
        <is>
          <t>REQ_EFFORT</t>
        </is>
      </c>
      <c r="O274" s="103" t="n"/>
      <c r="P274" s="241" t="n"/>
      <c r="Q274" s="241" t="n"/>
      <c r="R274" s="241" t="n"/>
      <c r="S274" s="241" t="n"/>
      <c r="T274" s="241" t="n"/>
      <c r="U274" s="241" t="n"/>
      <c r="V274" s="241" t="n"/>
      <c r="W274" s="241" t="n"/>
      <c r="X274" s="241" t="n"/>
      <c r="Y274" s="241" t="n"/>
      <c r="Z274" s="241" t="n"/>
      <c r="AA274" s="241" t="n"/>
      <c r="AB274" s="241" t="n"/>
      <c r="AC274" s="103" t="n"/>
      <c r="AD274" s="60" t="n"/>
    </row>
    <row r="275" hidden="1" outlineLevel="1" customFormat="1" s="11">
      <c r="A275" s="94" t="n"/>
      <c r="B275" s="11" t="n"/>
      <c r="C275" s="80" t="n"/>
      <c r="D275" s="80" t="n"/>
      <c r="E275" s="80" t="n"/>
      <c r="F275" s="78" t="n"/>
      <c r="G275" s="241" t="n"/>
      <c r="H275" s="241" t="n"/>
      <c r="I275" s="241" t="n"/>
      <c r="J275" s="241" t="n"/>
      <c r="K275" s="241" t="n"/>
      <c r="L275" s="241" t="n"/>
      <c r="M275" s="285" t="n"/>
      <c r="N275" s="263" t="inlineStr">
        <is>
          <t>DESIGN_EFFORT</t>
        </is>
      </c>
      <c r="O275" s="103" t="n"/>
      <c r="P275" s="241" t="n"/>
      <c r="Q275" s="241" t="n"/>
      <c r="R275" s="241" t="n"/>
      <c r="S275" s="241" t="n"/>
      <c r="T275" s="241" t="n"/>
      <c r="U275" s="241" t="n"/>
      <c r="V275" s="241" t="n"/>
      <c r="W275" s="241" t="n"/>
      <c r="X275" s="241" t="n"/>
      <c r="Y275" s="241" t="n"/>
      <c r="Z275" s="241" t="n"/>
      <c r="AA275" s="241" t="n"/>
      <c r="AB275" s="241" t="n"/>
      <c r="AC275" s="103" t="n"/>
      <c r="AD275" s="60" t="n"/>
    </row>
    <row r="276" hidden="1" outlineLevel="1" customFormat="1" s="11">
      <c r="A276" s="94" t="n"/>
      <c r="B276" s="11" t="n"/>
      <c r="C276" s="80" t="n"/>
      <c r="D276" s="80" t="n"/>
      <c r="E276" s="80" t="n"/>
      <c r="F276" s="78" t="n"/>
      <c r="G276" s="241" t="n"/>
      <c r="H276" s="241" t="n"/>
      <c r="I276" s="241" t="n"/>
      <c r="J276" s="241" t="n"/>
      <c r="K276" s="241" t="n"/>
      <c r="L276" s="241" t="n"/>
      <c r="M276" s="285" t="n"/>
      <c r="N276" s="263" t="inlineStr">
        <is>
          <t>DEV_EFFORT</t>
        </is>
      </c>
      <c r="O276" s="103" t="n"/>
      <c r="P276" s="241" t="n"/>
      <c r="Q276" s="241" t="n"/>
      <c r="R276" s="241" t="n"/>
      <c r="S276" s="241" t="n"/>
      <c r="T276" s="241" t="n"/>
      <c r="U276" s="241" t="n"/>
      <c r="V276" s="241" t="n"/>
      <c r="W276" s="241" t="n"/>
      <c r="X276" s="241" t="n"/>
      <c r="Y276" s="241" t="n"/>
      <c r="Z276" s="241" t="n"/>
      <c r="AA276" s="241" t="n"/>
      <c r="AB276" s="241" t="n"/>
      <c r="AC276" s="103" t="n"/>
      <c r="AD276" s="60" t="n"/>
    </row>
    <row r="277" hidden="1" outlineLevel="1" customFormat="1" s="11">
      <c r="A277" s="94" t="n"/>
      <c r="B277" s="11" t="n"/>
      <c r="C277" s="80" t="n"/>
      <c r="D277" s="80" t="n"/>
      <c r="E277" s="80" t="n"/>
      <c r="F277" s="78" t="n"/>
      <c r="G277" s="241" t="n"/>
      <c r="H277" s="241" t="n"/>
      <c r="I277" s="241" t="n"/>
      <c r="J277" s="241" t="n"/>
      <c r="K277" s="241" t="n"/>
      <c r="L277" s="241" t="n"/>
      <c r="M277" s="285" t="n"/>
      <c r="N277" s="263" t="inlineStr">
        <is>
          <t>QA_EFFORT</t>
        </is>
      </c>
      <c r="O277" s="103" t="n"/>
      <c r="P277" s="241" t="n"/>
      <c r="Q277" s="241" t="n"/>
      <c r="R277" s="241" t="n"/>
      <c r="S277" s="241" t="n"/>
      <c r="T277" s="241" t="n"/>
      <c r="U277" s="241" t="n"/>
      <c r="V277" s="241" t="n"/>
      <c r="W277" s="241" t="n"/>
      <c r="X277" s="241" t="n"/>
      <c r="Y277" s="241" t="n"/>
      <c r="Z277" s="241" t="n"/>
      <c r="AA277" s="241" t="n"/>
      <c r="AB277" s="241" t="n"/>
      <c r="AC277" s="103" t="n"/>
      <c r="AD277" s="60" t="n"/>
    </row>
    <row r="278" hidden="1" outlineLevel="1" customFormat="1" s="11">
      <c r="A278" s="94" t="n"/>
      <c r="B278" s="11" t="n"/>
      <c r="C278" s="80" t="n"/>
      <c r="D278" s="80" t="n"/>
      <c r="E278" s="80" t="n"/>
      <c r="F278" s="78" t="n"/>
      <c r="G278" s="241" t="n"/>
      <c r="H278" s="241" t="n"/>
      <c r="I278" s="241" t="n"/>
      <c r="J278" s="241" t="n"/>
      <c r="K278" s="241" t="n"/>
      <c r="L278" s="241" t="n"/>
      <c r="M278" s="285" t="n"/>
      <c r="N278" s="263" t="inlineStr">
        <is>
          <t>UAT_EFFORT</t>
        </is>
      </c>
      <c r="O278" s="103" t="n"/>
      <c r="P278" s="241" t="n"/>
      <c r="Q278" s="241" t="n"/>
      <c r="R278" s="241" t="n"/>
      <c r="S278" s="241" t="n"/>
      <c r="T278" s="241" t="n"/>
      <c r="U278" s="241" t="n"/>
      <c r="V278" s="241" t="n"/>
      <c r="W278" s="241" t="n"/>
      <c r="X278" s="241" t="n"/>
      <c r="Y278" s="241" t="n"/>
      <c r="Z278" s="241" t="n"/>
      <c r="AA278" s="241" t="n"/>
      <c r="AB278" s="241" t="n"/>
      <c r="AC278" s="103" t="n"/>
      <c r="AD278" s="60" t="n"/>
    </row>
    <row r="279" hidden="1" outlineLevel="1" customFormat="1" s="11">
      <c r="A279" s="94" t="n"/>
      <c r="B279" s="11" t="n"/>
      <c r="C279" s="80" t="n"/>
      <c r="D279" s="80" t="n"/>
      <c r="E279" s="80" t="n"/>
      <c r="F279" s="78" t="n"/>
      <c r="G279" s="241" t="n"/>
      <c r="H279" s="241" t="n"/>
      <c r="I279" s="241" t="n"/>
      <c r="J279" s="241" t="n"/>
      <c r="K279" s="241" t="n"/>
      <c r="L279" s="241" t="n"/>
      <c r="M279" s="285" t="n"/>
      <c r="N279" s="263" t="inlineStr">
        <is>
          <t>OTHER_EFFORT</t>
        </is>
      </c>
      <c r="O279" s="103" t="n"/>
      <c r="P279" s="241" t="n"/>
      <c r="Q279" s="241" t="n"/>
      <c r="R279" s="241" t="n"/>
      <c r="S279" s="241" t="n"/>
      <c r="T279" s="241" t="n"/>
      <c r="U279" s="241" t="n"/>
      <c r="V279" s="241" t="n"/>
      <c r="W279" s="241" t="n"/>
      <c r="X279" s="241" t="n"/>
      <c r="Y279" s="241" t="n"/>
      <c r="Z279" s="241" t="n"/>
      <c r="AA279" s="241" t="n"/>
      <c r="AB279" s="241" t="n"/>
      <c r="AC279" s="103" t="n"/>
      <c r="AD279" s="60" t="n"/>
    </row>
    <row r="280" hidden="1" outlineLevel="1" customFormat="1" s="11">
      <c r="A280" s="94" t="n"/>
      <c r="B280" s="11" t="n"/>
      <c r="C280" s="80" t="n"/>
      <c r="D280" s="80" t="n"/>
      <c r="E280" s="80" t="n"/>
      <c r="F280" s="78" t="n"/>
      <c r="G280" s="241" t="n"/>
      <c r="H280" s="241" t="n"/>
      <c r="I280" s="241" t="n"/>
      <c r="J280" s="241" t="n"/>
      <c r="K280" s="241" t="n"/>
      <c r="L280" s="241" t="n"/>
      <c r="M280" s="285" t="n"/>
      <c r="N280" s="263" t="inlineStr">
        <is>
          <t>TOTAL_WEEKS</t>
        </is>
      </c>
      <c r="O280" s="103" t="n"/>
      <c r="P280" s="241" t="n"/>
      <c r="Q280" s="241" t="n"/>
      <c r="R280" s="241" t="n"/>
      <c r="S280" s="241" t="n"/>
      <c r="T280" s="241" t="n"/>
      <c r="U280" s="241" t="n"/>
      <c r="V280" s="241" t="n"/>
      <c r="W280" s="241" t="n"/>
      <c r="X280" s="241" t="n"/>
      <c r="Y280" s="241" t="n"/>
      <c r="Z280" s="241" t="n"/>
      <c r="AA280" s="241" t="n"/>
      <c r="AB280" s="241" t="n"/>
      <c r="AC280" s="103" t="n"/>
      <c r="AD280" s="60" t="n"/>
    </row>
    <row r="281" hidden="1" outlineLevel="1" customFormat="1" s="11">
      <c r="A281" s="94" t="n"/>
      <c r="B281" s="11" t="n"/>
      <c r="C281" s="80" t="n"/>
      <c r="D281" s="80" t="n"/>
      <c r="E281" s="80" t="n"/>
      <c r="F281" s="78" t="n"/>
      <c r="G281" s="241" t="n"/>
      <c r="H281" s="241" t="n"/>
      <c r="I281" s="241" t="n"/>
      <c r="J281" s="241" t="n"/>
      <c r="K281" s="241" t="n"/>
      <c r="L281" s="241" t="n"/>
      <c r="M281" s="285" t="n"/>
      <c r="N281" s="263" t="inlineStr">
        <is>
          <t>START_DATE</t>
        </is>
      </c>
      <c r="O281" s="103" t="n"/>
      <c r="P281" s="241" t="n"/>
      <c r="Q281" s="241" t="n"/>
      <c r="R281" s="241" t="n"/>
      <c r="S281" s="241" t="n"/>
      <c r="T281" s="241" t="n"/>
      <c r="U281" s="241" t="n"/>
      <c r="V281" s="241" t="n"/>
      <c r="W281" s="241" t="n"/>
      <c r="X281" s="241" t="n"/>
      <c r="Y281" s="241" t="n"/>
      <c r="Z281" s="241" t="n"/>
      <c r="AA281" s="241" t="n"/>
      <c r="AB281" s="241" t="n"/>
      <c r="AC281" s="103" t="n"/>
      <c r="AD281" s="60" t="n"/>
    </row>
    <row r="282" hidden="1" outlineLevel="1" customFormat="1" s="11">
      <c r="A282" s="94" t="n"/>
      <c r="B282" s="11" t="n"/>
      <c r="C282" s="80" t="n"/>
      <c r="D282" s="80" t="n"/>
      <c r="E282" s="80" t="n"/>
      <c r="F282" s="78" t="n"/>
      <c r="G282" s="241" t="n"/>
      <c r="H282" s="241" t="n"/>
      <c r="I282" s="241" t="n"/>
      <c r="J282" s="241" t="n"/>
      <c r="K282" s="241" t="n"/>
      <c r="L282" s="241" t="n"/>
      <c r="M282" s="285" t="n"/>
      <c r="N282" s="263" t="inlineStr">
        <is>
          <t>AUTOMATED_END_DATE</t>
        </is>
      </c>
      <c r="O282" s="103" t="n"/>
      <c r="P282" s="241" t="n"/>
      <c r="Q282" s="241" t="n"/>
      <c r="R282" s="241" t="n"/>
      <c r="S282" s="241" t="n"/>
      <c r="T282" s="241" t="n"/>
      <c r="U282" s="241" t="n"/>
      <c r="V282" s="241" t="n"/>
      <c r="W282" s="241" t="n"/>
      <c r="X282" s="241" t="n"/>
      <c r="Y282" s="241" t="n"/>
      <c r="Z282" s="241" t="n"/>
      <c r="AA282" s="241" t="n"/>
      <c r="AB282" s="241" t="n"/>
      <c r="AC282" s="103" t="n"/>
      <c r="AD282" s="60" t="n"/>
    </row>
    <row r="283" hidden="1" outlineLevel="1" customFormat="1" s="11">
      <c r="A283" s="94" t="n"/>
      <c r="B283" s="11" t="n"/>
      <c r="C283" s="80" t="n"/>
      <c r="D283" s="80" t="n"/>
      <c r="E283" s="80" t="n"/>
      <c r="F283" s="78" t="n"/>
      <c r="G283" s="241" t="n"/>
      <c r="H283" s="241" t="n"/>
      <c r="I283" s="241" t="n"/>
      <c r="J283" s="241" t="n"/>
      <c r="K283" s="241" t="n"/>
      <c r="L283" s="241" t="n"/>
      <c r="M283" s="285" t="n"/>
      <c r="N283" s="263" t="inlineStr">
        <is>
          <t>MANUAL_END_DATE</t>
        </is>
      </c>
      <c r="O283" s="103" t="n"/>
      <c r="P283" s="241" t="n"/>
      <c r="Q283" s="241" t="n"/>
      <c r="R283" s="241" t="n"/>
      <c r="S283" s="241" t="n"/>
      <c r="T283" s="241" t="n"/>
      <c r="U283" s="241" t="n"/>
      <c r="V283" s="241" t="n"/>
      <c r="W283" s="241" t="n"/>
      <c r="X283" s="241" t="n"/>
      <c r="Y283" s="241" t="n"/>
      <c r="Z283" s="241" t="n"/>
      <c r="AA283" s="241" t="n"/>
      <c r="AB283" s="241" t="n"/>
      <c r="AC283" s="103" t="n"/>
      <c r="AD283" s="60" t="n"/>
    </row>
    <row r="284" hidden="1" outlineLevel="1" customFormat="1" s="11">
      <c r="A284" s="94" t="n"/>
      <c r="B284" s="11" t="n"/>
      <c r="C284" s="80" t="n"/>
      <c r="D284" s="80" t="n"/>
      <c r="E284" s="80" t="n"/>
      <c r="F284" s="78" t="n"/>
      <c r="G284" s="241" t="n"/>
      <c r="H284" s="241" t="n"/>
      <c r="I284" s="241" t="n"/>
      <c r="J284" s="241" t="n"/>
      <c r="K284" s="241" t="n"/>
      <c r="L284" s="241" t="n"/>
      <c r="M284" s="285" t="n"/>
      <c r="N284" s="263" t="inlineStr">
        <is>
          <t>DURATION</t>
        </is>
      </c>
      <c r="O284" s="103" t="n"/>
      <c r="P284" s="241" t="n"/>
      <c r="Q284" s="241" t="n"/>
      <c r="R284" s="241" t="n"/>
      <c r="S284" s="241" t="n"/>
      <c r="T284" s="241" t="n"/>
      <c r="U284" s="241" t="n"/>
      <c r="V284" s="241" t="n"/>
      <c r="W284" s="241" t="n"/>
      <c r="X284" s="241" t="n"/>
      <c r="Y284" s="241" t="n"/>
      <c r="Z284" s="241" t="n"/>
      <c r="AA284" s="241" t="n"/>
      <c r="AB284" s="241" t="n"/>
      <c r="AC284" s="103" t="n"/>
      <c r="AD284" s="60" t="n"/>
    </row>
    <row r="285" hidden="1" outlineLevel="1" customFormat="1" s="11">
      <c r="A285" s="94" t="n"/>
      <c r="B285" s="11" t="n"/>
      <c r="C285" s="80" t="n"/>
      <c r="D285" s="80" t="n"/>
      <c r="E285" s="80" t="n"/>
      <c r="F285" s="78" t="n"/>
      <c r="G285" s="241" t="n"/>
      <c r="H285" s="241" t="n"/>
      <c r="I285" s="241" t="n"/>
      <c r="J285" s="241" t="n"/>
      <c r="K285" s="241" t="n"/>
      <c r="L285" s="241" t="n"/>
      <c r="M285" s="285" t="n"/>
      <c r="N285" s="263" t="inlineStr">
        <is>
          <t>MANUAL_DURATION</t>
        </is>
      </c>
      <c r="O285" s="103" t="n"/>
      <c r="P285" s="241" t="n"/>
      <c r="Q285" s="241" t="n"/>
      <c r="R285" s="241" t="n"/>
      <c r="S285" s="241" t="n"/>
      <c r="T285" s="241" t="n"/>
      <c r="U285" s="241" t="n"/>
      <c r="V285" s="241" t="n"/>
      <c r="W285" s="241" t="n"/>
      <c r="X285" s="241" t="n"/>
      <c r="Y285" s="241" t="n"/>
      <c r="Z285" s="241" t="n"/>
      <c r="AA285" s="241" t="n"/>
      <c r="AB285" s="241" t="n"/>
      <c r="AC285" s="103" t="n"/>
      <c r="AD285" s="60" t="n"/>
    </row>
    <row r="286" hidden="1" outlineLevel="1" customFormat="1" s="11">
      <c r="A286" s="94" t="n"/>
      <c r="B286" s="11" t="n"/>
      <c r="C286" s="80" t="n"/>
      <c r="D286" s="80" t="n"/>
      <c r="E286" s="80" t="n"/>
      <c r="F286" s="78" t="n"/>
      <c r="G286" s="241" t="n"/>
      <c r="H286" s="241" t="n"/>
      <c r="I286" s="241" t="n"/>
      <c r="J286" s="241" t="n"/>
      <c r="K286" s="241" t="n"/>
      <c r="L286" s="241" t="n"/>
      <c r="M286" s="285" t="n"/>
      <c r="N286" s="332" t="n"/>
      <c r="O286" s="103" t="n"/>
      <c r="P286" s="241" t="n"/>
      <c r="Q286" s="241" t="n"/>
      <c r="R286" s="241" t="n"/>
      <c r="S286" s="241" t="n"/>
      <c r="T286" s="241" t="n"/>
      <c r="U286" s="241" t="n"/>
      <c r="V286" s="241" t="n"/>
      <c r="W286" s="241" t="n"/>
      <c r="X286" s="241" t="n"/>
      <c r="Y286" s="241" t="n"/>
      <c r="Z286" s="241" t="n"/>
      <c r="AA286" s="241" t="n"/>
      <c r="AB286" s="241" t="n"/>
      <c r="AC286" s="103" t="n"/>
      <c r="AD286" s="60" t="n"/>
    </row>
    <row r="287" hidden="1" outlineLevel="1" ht="15" customFormat="1" customHeight="1" s="11">
      <c r="A287" s="94" t="n"/>
      <c r="B287" s="11" t="n"/>
      <c r="C287" s="80" t="n"/>
      <c r="D287" s="80" t="n"/>
      <c r="E287" s="80" t="n"/>
      <c r="F287" s="78" t="n"/>
      <c r="G287" s="241" t="n"/>
      <c r="H287" s="241" t="n"/>
      <c r="I287" s="241" t="n"/>
      <c r="J287" s="241" t="n"/>
      <c r="K287" s="241" t="n"/>
      <c r="L287" s="241" t="n"/>
      <c r="M287" s="285" t="n"/>
      <c r="N287" s="165" t="inlineStr">
        <is>
          <t>Complexity impact</t>
        </is>
      </c>
      <c r="O287" s="165" t="inlineStr">
        <is>
          <t>% Values</t>
        </is>
      </c>
      <c r="P287" s="241" t="n"/>
      <c r="Q287" s="186" t="n"/>
      <c r="R287" s="186" t="n"/>
      <c r="S287" s="241" t="n"/>
      <c r="T287" s="241" t="n"/>
      <c r="U287" s="241" t="n"/>
      <c r="V287" s="241" t="n"/>
      <c r="W287" s="241" t="n"/>
      <c r="X287" s="241" t="n"/>
      <c r="Y287" s="241" t="n"/>
      <c r="Z287" s="241" t="n"/>
      <c r="AA287" s="241" t="n"/>
      <c r="AB287" s="103" t="n"/>
      <c r="AC287" s="103" t="n"/>
      <c r="AD287" s="60" t="n"/>
    </row>
    <row r="288" hidden="1" outlineLevel="1" ht="15" customFormat="1" customHeight="1" s="11">
      <c r="A288" s="94" t="n"/>
      <c r="B288" s="11" t="n"/>
      <c r="C288" s="80" t="n"/>
      <c r="D288" s="80" t="n"/>
      <c r="E288" s="80" t="n"/>
      <c r="F288" s="78" t="n"/>
      <c r="G288" s="241" t="n"/>
      <c r="H288" s="241" t="n"/>
      <c r="I288" s="241" t="n"/>
      <c r="J288" s="241" t="n"/>
      <c r="K288" s="241" t="n"/>
      <c r="L288" s="241" t="n"/>
      <c r="M288" s="285" t="n"/>
      <c r="N288" s="159" t="inlineStr">
        <is>
          <t>High (+)</t>
        </is>
      </c>
      <c r="O288" s="164" t="n">
        <v>0.5</v>
      </c>
      <c r="P288" s="333" t="inlineStr">
        <is>
          <t>Used to get effort for High and Low complexity activities based on given medium complexity effort.</t>
        </is>
      </c>
      <c r="S288" s="241" t="n"/>
      <c r="T288" s="241" t="n"/>
      <c r="U288" s="241" t="n"/>
      <c r="V288" s="241" t="n"/>
      <c r="W288" s="241" t="n"/>
      <c r="X288" s="241" t="n"/>
      <c r="Y288" s="241" t="n"/>
      <c r="Z288" s="241" t="n"/>
      <c r="AA288" s="241" t="n"/>
      <c r="AB288" s="103" t="n"/>
      <c r="AC288" s="103" t="n"/>
      <c r="AD288" s="60" t="n"/>
    </row>
    <row r="289" hidden="1" outlineLevel="1" customFormat="1" s="11">
      <c r="A289" s="94" t="n"/>
      <c r="B289" s="11" t="n"/>
      <c r="C289" s="80" t="n"/>
      <c r="D289" s="80" t="n"/>
      <c r="E289" s="80" t="n"/>
      <c r="F289" s="78" t="n"/>
      <c r="G289" s="241" t="n"/>
      <c r="H289" s="241" t="n"/>
      <c r="I289" s="241" t="n"/>
      <c r="J289" s="241" t="n"/>
      <c r="K289" s="241" t="n"/>
      <c r="L289" s="241" t="n"/>
      <c r="M289" s="285" t="n"/>
      <c r="N289" s="159" t="inlineStr">
        <is>
          <t>Low (-)</t>
        </is>
      </c>
      <c r="O289" s="164" t="n">
        <v>0.25</v>
      </c>
      <c r="S289" s="241" t="n"/>
      <c r="T289" s="241" t="n"/>
      <c r="U289" s="241" t="n"/>
      <c r="V289" s="241" t="n"/>
      <c r="W289" s="241" t="n"/>
      <c r="X289" s="241" t="n"/>
      <c r="Y289" s="241" t="n"/>
      <c r="Z289" s="241" t="n"/>
      <c r="AA289" s="241" t="n"/>
      <c r="AB289" s="103" t="n"/>
      <c r="AC289" s="103" t="n"/>
      <c r="AD289" s="60" t="n"/>
    </row>
    <row r="290" hidden="1" outlineLevel="1" customFormat="1" s="11">
      <c r="A290" s="94" t="n"/>
      <c r="B290" s="11" t="n"/>
      <c r="C290" s="80" t="n"/>
      <c r="D290" s="80" t="n"/>
      <c r="E290" s="80" t="n"/>
      <c r="F290" s="78" t="n"/>
      <c r="G290" s="241" t="n"/>
      <c r="H290" s="241" t="n"/>
      <c r="I290" s="241" t="n"/>
      <c r="J290" s="241" t="n"/>
      <c r="K290" s="241" t="n"/>
      <c r="L290" s="241" t="n"/>
      <c r="M290" s="285" t="n"/>
      <c r="N290" s="103" t="n"/>
      <c r="O290" s="103" t="n"/>
      <c r="S290" s="241" t="n"/>
      <c r="T290" s="241" t="n"/>
      <c r="U290" s="241" t="n"/>
      <c r="V290" s="241" t="n"/>
      <c r="W290" s="241" t="n"/>
      <c r="X290" s="241" t="n"/>
      <c r="Y290" s="241" t="n"/>
      <c r="Z290" s="241" t="n"/>
      <c r="AA290" s="241" t="n"/>
      <c r="AB290" s="103" t="n"/>
      <c r="AC290" s="103" t="n"/>
      <c r="AD290" s="60" t="n"/>
    </row>
    <row r="291" hidden="1" outlineLevel="1" customFormat="1" s="11">
      <c r="A291" s="94" t="n"/>
      <c r="B291" s="11" t="n"/>
      <c r="C291" s="80" t="n"/>
      <c r="D291" s="80" t="n"/>
      <c r="E291" s="80" t="n"/>
      <c r="F291" s="78" t="n"/>
      <c r="G291" s="241" t="n"/>
      <c r="H291" s="241" t="n"/>
      <c r="I291" s="241" t="n"/>
      <c r="J291" s="241" t="n"/>
      <c r="K291" s="241" t="n"/>
      <c r="L291" s="241" t="n"/>
      <c r="M291" s="285" t="n"/>
      <c r="N291" s="103" t="n"/>
      <c r="O291" s="103" t="n"/>
      <c r="S291" s="241" t="n"/>
      <c r="T291" s="241" t="n"/>
      <c r="U291" s="241" t="n"/>
      <c r="V291" s="241" t="n"/>
      <c r="W291" s="241" t="n"/>
      <c r="X291" s="241" t="n"/>
      <c r="Y291" s="241" t="n"/>
      <c r="Z291" s="241" t="n"/>
      <c r="AA291" s="241" t="n"/>
      <c r="AB291" s="103" t="n"/>
      <c r="AC291" s="103" t="n"/>
      <c r="AD291" s="60" t="n"/>
    </row>
    <row r="292" hidden="1" outlineLevel="1" customFormat="1" s="11">
      <c r="A292" s="94" t="n"/>
      <c r="B292" s="11" t="n"/>
      <c r="C292" s="80" t="n"/>
      <c r="D292" s="80" t="n"/>
      <c r="E292" s="80" t="n"/>
      <c r="F292" s="78" t="n"/>
      <c r="G292" s="241" t="n"/>
      <c r="H292" s="241" t="n"/>
      <c r="I292" s="241" t="n"/>
      <c r="J292" s="241" t="n"/>
      <c r="K292" s="241" t="n"/>
      <c r="L292" s="241" t="n"/>
      <c r="M292" s="285" t="n"/>
      <c r="N292" s="161" t="inlineStr">
        <is>
          <t>Extras</t>
        </is>
      </c>
      <c r="O292" s="165" t="inlineStr">
        <is>
          <t>% Values</t>
        </is>
      </c>
      <c r="P292" s="241" t="n"/>
      <c r="Q292" s="241" t="n"/>
      <c r="R292" s="241" t="n"/>
      <c r="S292" s="241" t="n"/>
      <c r="T292" s="241" t="n"/>
      <c r="U292" s="241" t="n"/>
      <c r="V292" s="241" t="n"/>
      <c r="W292" s="241" t="n"/>
      <c r="X292" s="241" t="n"/>
      <c r="Y292" s="241" t="n"/>
      <c r="Z292" s="241" t="n"/>
      <c r="AA292" s="241" t="n"/>
      <c r="AB292" s="103" t="n"/>
      <c r="AC292" s="103" t="n"/>
      <c r="AD292" s="60" t="n"/>
    </row>
    <row r="293" hidden="1" outlineLevel="1" customFormat="1" s="11">
      <c r="A293" s="94" t="n"/>
      <c r="B293" s="11" t="n"/>
      <c r="C293" s="80" t="n"/>
      <c r="D293" s="80" t="n"/>
      <c r="E293" s="80" t="n"/>
      <c r="F293" s="78" t="n"/>
      <c r="G293" s="241" t="n"/>
      <c r="H293" s="241" t="n"/>
      <c r="I293" s="241" t="n"/>
      <c r="J293" s="241" t="n"/>
      <c r="K293" s="241" t="n"/>
      <c r="L293" s="241" t="n"/>
      <c r="M293" s="285" t="n"/>
      <c r="N293" s="271" t="inlineStr">
        <is>
          <t>-</t>
        </is>
      </c>
      <c r="O293" s="272" t="n">
        <v>0</v>
      </c>
      <c r="P293" s="333" t="inlineStr">
        <is>
          <t>Added to calculated effort, when chosen.</t>
        </is>
      </c>
      <c r="R293" s="241" t="n"/>
      <c r="S293" s="241" t="n"/>
      <c r="T293" s="241" t="n"/>
      <c r="U293" s="241" t="n"/>
      <c r="V293" s="241" t="n"/>
      <c r="W293" s="241" t="n"/>
      <c r="X293" s="241" t="n"/>
      <c r="Y293" s="241" t="n"/>
      <c r="Z293" s="241" t="n"/>
      <c r="AA293" s="241" t="n"/>
      <c r="AB293" s="103" t="n"/>
      <c r="AC293" s="103" t="n"/>
      <c r="AD293" s="60" t="n"/>
    </row>
    <row r="294" hidden="1" outlineLevel="1" ht="15" customFormat="1" customHeight="1" s="11">
      <c r="A294" s="94" t="n"/>
      <c r="B294" s="11" t="n"/>
      <c r="C294" s="80" t="n"/>
      <c r="D294" s="80" t="n"/>
      <c r="E294" s="80" t="n"/>
      <c r="F294" s="78" t="n"/>
      <c r="G294" s="241" t="n"/>
      <c r="H294" s="241" t="n"/>
      <c r="I294" s="241" t="n"/>
      <c r="J294" s="241" t="n"/>
      <c r="K294" s="241" t="n"/>
      <c r="L294" s="241" t="n"/>
      <c r="M294" s="285" t="n"/>
      <c r="N294" s="271" t="inlineStr">
        <is>
          <t>Unit Testing</t>
        </is>
      </c>
      <c r="O294" s="272" t="n">
        <v>0.25</v>
      </c>
      <c r="R294" s="241" t="n"/>
      <c r="S294" s="241" t="n"/>
      <c r="T294" s="241" t="n"/>
      <c r="U294" s="241" t="n"/>
      <c r="V294" s="241" t="n"/>
      <c r="W294" s="241" t="n"/>
      <c r="X294" s="241" t="n"/>
      <c r="Y294" s="241" t="n"/>
      <c r="Z294" s="241" t="n"/>
      <c r="AA294" s="241" t="n"/>
      <c r="AB294" s="103" t="n"/>
      <c r="AC294" s="103" t="n"/>
      <c r="AD294" s="60" t="n"/>
    </row>
    <row r="295" hidden="1" outlineLevel="1" customFormat="1" s="11">
      <c r="A295" s="94" t="n"/>
      <c r="B295" s="11" t="n"/>
      <c r="C295" s="80" t="n"/>
      <c r="D295" s="80" t="n"/>
      <c r="E295" s="80" t="n"/>
      <c r="F295" s="78" t="n"/>
      <c r="G295" s="241" t="n"/>
      <c r="H295" s="241" t="n"/>
      <c r="I295" s="241" t="n"/>
      <c r="J295" s="241" t="n"/>
      <c r="K295" s="241" t="n"/>
      <c r="L295" s="241" t="n"/>
      <c r="M295" s="285" t="n"/>
      <c r="N295" s="271" t="inlineStr">
        <is>
          <t>Unknowns</t>
        </is>
      </c>
      <c r="O295" s="273" t="n">
        <v>0.1</v>
      </c>
      <c r="P295" s="241" t="n"/>
      <c r="Q295" s="241" t="n"/>
      <c r="R295" s="241" t="n"/>
      <c r="S295" s="241" t="n"/>
      <c r="T295" s="241" t="n"/>
      <c r="U295" s="241" t="n"/>
      <c r="V295" s="241" t="n"/>
      <c r="W295" s="241" t="n"/>
      <c r="X295" s="241" t="n"/>
      <c r="Y295" s="241" t="n"/>
      <c r="Z295" s="241" t="n"/>
      <c r="AA295" s="241" t="n"/>
      <c r="AB295" s="103" t="n"/>
      <c r="AC295" s="103" t="n"/>
      <c r="AD295" s="60" t="n"/>
    </row>
    <row r="296" hidden="1" outlineLevel="1" customFormat="1" s="11">
      <c r="A296" s="94" t="n"/>
      <c r="B296" s="11" t="n"/>
      <c r="C296" s="80" t="n"/>
      <c r="D296" s="80" t="n"/>
      <c r="E296" s="80" t="n"/>
      <c r="F296" s="78" t="n"/>
      <c r="G296" s="241" t="n"/>
      <c r="H296" s="241" t="n"/>
      <c r="I296" s="241" t="n"/>
      <c r="J296" s="241" t="n"/>
      <c r="K296" s="241" t="n"/>
      <c r="L296" s="241" t="n"/>
      <c r="M296" s="285" t="n"/>
      <c r="N296" s="271" t="inlineStr">
        <is>
          <t>Extra 1</t>
        </is>
      </c>
      <c r="O296" s="273" t="n">
        <v>0</v>
      </c>
      <c r="P296" s="241" t="n"/>
      <c r="Q296" s="241" t="n"/>
      <c r="R296" s="241" t="n"/>
      <c r="S296" s="241" t="n"/>
      <c r="T296" s="241" t="n"/>
      <c r="U296" s="241" t="n"/>
      <c r="V296" s="241" t="n"/>
      <c r="W296" s="241" t="n"/>
      <c r="X296" s="241" t="n"/>
      <c r="Y296" s="241" t="n"/>
      <c r="Z296" s="241" t="n"/>
      <c r="AA296" s="241" t="n"/>
      <c r="AB296" s="103" t="n"/>
      <c r="AC296" s="103" t="n"/>
      <c r="AD296" s="60" t="n"/>
    </row>
    <row r="297" hidden="1" outlineLevel="1" customFormat="1" s="11">
      <c r="A297" s="94" t="n"/>
      <c r="B297" s="11" t="n"/>
      <c r="C297" s="80" t="n"/>
      <c r="D297" s="80" t="n"/>
      <c r="E297" s="80" t="n"/>
      <c r="F297" s="78" t="n"/>
      <c r="G297" s="241" t="n"/>
      <c r="H297" s="241" t="n"/>
      <c r="I297" s="241" t="n"/>
      <c r="J297" s="241" t="n"/>
      <c r="K297" s="241" t="n"/>
      <c r="L297" s="241" t="n"/>
      <c r="M297" s="285" t="n"/>
      <c r="N297" s="271" t="inlineStr">
        <is>
          <t>Extra 2</t>
        </is>
      </c>
      <c r="O297" s="273" t="n">
        <v>0</v>
      </c>
      <c r="P297" s="241" t="n"/>
      <c r="Q297" s="241" t="n"/>
      <c r="R297" s="241" t="n"/>
      <c r="S297" s="241" t="n"/>
      <c r="T297" s="241" t="n"/>
      <c r="U297" s="241" t="n"/>
      <c r="V297" s="241" t="n"/>
      <c r="W297" s="241" t="n"/>
      <c r="X297" s="241" t="n"/>
      <c r="Y297" s="241" t="n"/>
      <c r="Z297" s="241" t="n"/>
      <c r="AA297" s="241" t="n"/>
      <c r="AB297" s="103" t="n"/>
      <c r="AC297" s="103" t="n"/>
      <c r="AD297" s="60" t="n"/>
    </row>
    <row r="298" hidden="1" outlineLevel="1" customFormat="1" s="11">
      <c r="A298" s="94" t="n"/>
      <c r="B298" s="11" t="n"/>
      <c r="C298" s="80" t="n"/>
      <c r="D298" s="80" t="n"/>
      <c r="E298" s="80" t="n"/>
      <c r="F298" s="78" t="n"/>
      <c r="G298" s="241" t="n"/>
      <c r="H298" s="241" t="n"/>
      <c r="I298" s="241" t="n"/>
      <c r="J298" s="241" t="n"/>
      <c r="K298" s="241" t="n"/>
      <c r="L298" s="241" t="n"/>
      <c r="M298" s="285" t="n"/>
      <c r="N298" s="271" t="inlineStr">
        <is>
          <t>Extra 3</t>
        </is>
      </c>
      <c r="O298" s="273" t="n">
        <v>0</v>
      </c>
      <c r="P298" s="241" t="n"/>
      <c r="Q298" s="241" t="n"/>
      <c r="R298" s="241" t="n"/>
      <c r="S298" s="241" t="n"/>
      <c r="T298" s="241" t="n"/>
      <c r="U298" s="241" t="n"/>
      <c r="V298" s="241" t="n"/>
      <c r="W298" s="241" t="n"/>
      <c r="X298" s="241" t="n"/>
      <c r="Y298" s="241" t="n"/>
      <c r="Z298" s="241" t="n"/>
      <c r="AA298" s="241" t="n"/>
      <c r="AB298" s="103" t="n"/>
      <c r="AC298" s="103" t="n"/>
      <c r="AD298" s="60" t="n"/>
    </row>
    <row r="299" hidden="1" outlineLevel="1" customFormat="1" s="11">
      <c r="A299" s="94" t="n"/>
      <c r="B299" s="11" t="n"/>
      <c r="C299" s="80" t="n"/>
      <c r="D299" s="80" t="n"/>
      <c r="E299" s="80" t="n"/>
      <c r="F299" s="78" t="n"/>
      <c r="G299" s="241" t="n"/>
      <c r="H299" s="241" t="n"/>
      <c r="I299" s="241" t="n"/>
      <c r="J299" s="241" t="n"/>
      <c r="K299" s="241" t="n"/>
      <c r="L299" s="241" t="n"/>
      <c r="M299" s="285" t="n"/>
      <c r="N299" s="103" t="n"/>
      <c r="O299" s="103" t="n"/>
      <c r="P299" s="241" t="n"/>
      <c r="Q299" s="241" t="n"/>
      <c r="R299" s="241" t="n"/>
      <c r="S299" s="241" t="n"/>
      <c r="T299" s="241" t="n"/>
      <c r="U299" s="241" t="n"/>
      <c r="V299" s="241" t="n"/>
      <c r="W299" s="241" t="n"/>
      <c r="X299" s="241" t="n"/>
      <c r="Y299" s="241" t="n"/>
      <c r="Z299" s="241" t="n"/>
      <c r="AA299" s="241" t="n"/>
      <c r="AB299" s="103" t="n"/>
      <c r="AC299" s="103" t="n"/>
      <c r="AD299" s="60" t="n"/>
    </row>
    <row r="300" hidden="1" outlineLevel="1" customFormat="1" s="11">
      <c r="A300" s="94" t="n"/>
      <c r="B300" s="11" t="n"/>
      <c r="C300" s="80" t="n"/>
      <c r="D300" s="80" t="n"/>
      <c r="E300" s="80" t="n"/>
      <c r="F300" s="78" t="n"/>
      <c r="G300" s="241" t="n"/>
      <c r="H300" s="241" t="n"/>
      <c r="I300" s="241" t="n"/>
      <c r="J300" s="241" t="n"/>
      <c r="K300" s="241" t="n"/>
      <c r="L300" s="241" t="n"/>
      <c r="M300" s="285" t="n"/>
      <c r="N300" s="161" t="inlineStr">
        <is>
          <t>Buffer types</t>
        </is>
      </c>
      <c r="O300" s="165" t="inlineStr">
        <is>
          <t>% Values</t>
        </is>
      </c>
      <c r="P300" s="241" t="n"/>
      <c r="Q300" s="241" t="n"/>
      <c r="R300" s="241" t="n"/>
      <c r="S300" s="241" t="n"/>
      <c r="T300" s="241" t="n"/>
      <c r="U300" s="241" t="n"/>
      <c r="V300" s="241" t="n"/>
      <c r="W300" s="241" t="n"/>
      <c r="X300" s="241" t="n"/>
      <c r="Y300" s="241" t="n"/>
      <c r="Z300" s="241" t="n"/>
      <c r="AA300" s="241" t="n"/>
      <c r="AB300" s="103" t="n"/>
      <c r="AC300" s="103" t="n"/>
      <c r="AD300" s="60" t="n"/>
    </row>
    <row r="301" hidden="1" outlineLevel="1" ht="15" customFormat="1" customHeight="1" s="11">
      <c r="A301" s="94" t="n"/>
      <c r="B301" s="11" t="n"/>
      <c r="C301" s="80" t="n"/>
      <c r="D301" s="80" t="n"/>
      <c r="E301" s="80" t="n"/>
      <c r="F301" s="78" t="n"/>
      <c r="G301" s="241" t="n"/>
      <c r="H301" s="241" t="n"/>
      <c r="I301" s="241" t="n"/>
      <c r="J301" s="241" t="n"/>
      <c r="K301" s="241" t="n"/>
      <c r="L301" s="241" t="n"/>
      <c r="M301" s="285" t="n"/>
      <c r="N301" s="159">
        <f>Lists!B46</f>
        <v/>
      </c>
      <c r="O301" s="164" t="n">
        <v>0.1</v>
      </c>
      <c r="P301" s="333" t="inlineStr">
        <is>
          <t>Added to final effort reached after +/- adjustments.</t>
        </is>
      </c>
      <c r="R301" s="241" t="n"/>
      <c r="S301" s="241" t="n"/>
      <c r="T301" s="241" t="n"/>
      <c r="U301" s="241" t="n"/>
      <c r="V301" s="241" t="n"/>
      <c r="W301" s="241" t="n"/>
      <c r="X301" s="241" t="n"/>
      <c r="Y301" s="241" t="n"/>
      <c r="Z301" s="241" t="n"/>
      <c r="AA301" s="241" t="n"/>
      <c r="AB301" s="103" t="n"/>
      <c r="AC301" s="103" t="n"/>
      <c r="AD301" s="60" t="n"/>
    </row>
    <row r="302" hidden="1" outlineLevel="1" customFormat="1" s="11">
      <c r="A302" s="94" t="n"/>
      <c r="B302" s="11" t="n"/>
      <c r="C302" s="80" t="n"/>
      <c r="D302" s="80" t="n"/>
      <c r="E302" s="80" t="n"/>
      <c r="F302" s="78" t="n"/>
      <c r="G302" s="241" t="n"/>
      <c r="H302" s="241" t="n"/>
      <c r="I302" s="241" t="n"/>
      <c r="J302" s="241" t="n"/>
      <c r="K302" s="241" t="n"/>
      <c r="L302" s="241" t="n"/>
      <c r="M302" s="285" t="n"/>
      <c r="N302" s="159">
        <f>Lists!B47</f>
        <v/>
      </c>
      <c r="O302" s="164" t="n">
        <v>0.15</v>
      </c>
      <c r="R302" s="241" t="n"/>
      <c r="S302" s="241" t="n"/>
      <c r="T302" s="241" t="n"/>
      <c r="U302" s="241" t="n"/>
      <c r="V302" s="241" t="n"/>
      <c r="W302" s="241" t="n"/>
      <c r="X302" s="241" t="n"/>
      <c r="Y302" s="241" t="n"/>
      <c r="Z302" s="241" t="n"/>
      <c r="AA302" s="241" t="n"/>
      <c r="AB302" s="103" t="n"/>
      <c r="AC302" s="103" t="n"/>
      <c r="AD302" s="60" t="n"/>
    </row>
    <row r="303" hidden="1" outlineLevel="1" customFormat="1" s="11">
      <c r="A303" s="94" t="n"/>
      <c r="B303" s="11" t="n"/>
      <c r="C303" s="80" t="n"/>
      <c r="D303" s="80" t="n"/>
      <c r="E303" s="80" t="n"/>
      <c r="F303" s="78" t="n"/>
      <c r="G303" s="241" t="n"/>
      <c r="H303" s="241" t="n"/>
      <c r="I303" s="241" t="n"/>
      <c r="J303" s="241" t="n"/>
      <c r="K303" s="241" t="n"/>
      <c r="L303" s="241" t="n"/>
      <c r="M303" s="285" t="n"/>
      <c r="N303" s="159">
        <f>Lists!B48</f>
        <v/>
      </c>
      <c r="O303" s="164" t="n">
        <v>0.2</v>
      </c>
      <c r="R303" s="241" t="n"/>
      <c r="S303" s="241" t="n"/>
      <c r="T303" s="241" t="n"/>
      <c r="U303" s="241" t="n"/>
      <c r="V303" s="241" t="n"/>
      <c r="W303" s="241" t="n"/>
      <c r="X303" s="241" t="n"/>
      <c r="Y303" s="241" t="n"/>
      <c r="Z303" s="241" t="n"/>
      <c r="AA303" s="241" t="n"/>
      <c r="AB303" s="103" t="n"/>
      <c r="AC303" s="103" t="n"/>
      <c r="AD303" s="60" t="n"/>
    </row>
    <row r="304" hidden="1" outlineLevel="1" customFormat="1" s="11">
      <c r="A304" s="94" t="n"/>
      <c r="B304" s="11" t="n"/>
      <c r="C304" s="80" t="n"/>
      <c r="D304" s="80" t="n"/>
      <c r="E304" s="80" t="n"/>
      <c r="F304" s="78" t="n"/>
      <c r="G304" s="241" t="n"/>
      <c r="H304" s="241" t="n"/>
      <c r="I304" s="241" t="n"/>
      <c r="J304" s="241" t="n"/>
      <c r="K304" s="241" t="n"/>
      <c r="L304" s="241" t="n"/>
      <c r="M304" s="285" t="n"/>
      <c r="N304" s="103" t="n"/>
      <c r="O304" s="103" t="n"/>
      <c r="P304" s="241" t="n"/>
      <c r="Q304" s="241" t="n"/>
      <c r="R304" s="241" t="n"/>
      <c r="S304" s="241" t="n"/>
      <c r="T304" s="241" t="n"/>
      <c r="U304" s="241" t="n"/>
      <c r="V304" s="241" t="n"/>
      <c r="W304" s="241" t="n"/>
      <c r="X304" s="241" t="n"/>
      <c r="Y304" s="241" t="n"/>
      <c r="Z304" s="241" t="n"/>
      <c r="AA304" s="241" t="n"/>
      <c r="AB304" s="103" t="n"/>
      <c r="AC304" s="103" t="n"/>
      <c r="AD304" s="60" t="n"/>
    </row>
    <row r="305" hidden="1" outlineLevel="1" ht="20.25" customFormat="1" customHeight="1" s="11">
      <c r="A305" s="94" t="n"/>
      <c r="B305" s="11" t="n"/>
      <c r="C305" s="78" t="n"/>
      <c r="D305" s="78" t="n"/>
      <c r="E305" s="78" t="n"/>
      <c r="F305" s="78" t="n"/>
      <c r="G305" s="43" t="n"/>
      <c r="H305" s="43" t="n"/>
      <c r="I305" s="43" t="n"/>
      <c r="J305" s="43" t="n"/>
      <c r="K305" s="43" t="n"/>
      <c r="L305" s="43" t="n"/>
      <c r="M305" s="281" t="n"/>
      <c r="N305" s="43" t="n"/>
      <c r="O305" s="43" t="n"/>
      <c r="P305" s="43" t="n"/>
      <c r="Q305" s="43" t="n"/>
      <c r="R305" s="43" t="n"/>
      <c r="S305" s="43" t="n"/>
      <c r="T305" s="43" t="n"/>
      <c r="U305" s="43" t="n"/>
      <c r="V305" s="43" t="n"/>
      <c r="W305" s="43" t="n"/>
      <c r="X305" s="43" t="n"/>
      <c r="Y305" s="43" t="n"/>
      <c r="Z305" s="43" t="n"/>
      <c r="AA305" s="43" t="n"/>
      <c r="AB305" s="43" t="n"/>
      <c r="AC305" s="43" t="n"/>
      <c r="AD305" s="60" t="n"/>
    </row>
    <row r="306">
      <c r="F306" s="78" t="n"/>
    </row>
    <row r="370" ht="20.25" customFormat="1" customHeight="1" s="11">
      <c r="A370" s="94" t="n"/>
      <c r="B370" s="11" t="n"/>
      <c r="C370" s="78" t="n"/>
      <c r="D370" s="78" t="n"/>
      <c r="E370" s="78" t="n"/>
      <c r="F370" s="78" t="n"/>
      <c r="G370" s="324" t="inlineStr">
        <is>
          <t>Notes</t>
        </is>
      </c>
      <c r="I370" s="324" t="n"/>
      <c r="J370" s="43" t="n"/>
      <c r="K370" s="43" t="n"/>
      <c r="L370" s="39" t="n"/>
      <c r="M370" s="289" t="inlineStr">
        <is>
          <t>Templates</t>
        </is>
      </c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9" t="n"/>
      <c r="X370" s="39" t="n"/>
      <c r="Y370" s="39" t="n"/>
      <c r="Z370" s="39" t="n"/>
      <c r="AA370" s="39" t="n"/>
      <c r="AB370" s="39" t="n"/>
      <c r="AC370" s="39" t="n"/>
      <c r="AD370" s="60" t="n"/>
    </row>
    <row r="371" hidden="1" s="232"/>
    <row r="372" hidden="1" collapsed="1" ht="18.5" customFormat="1" customHeight="1" s="17">
      <c r="A372" s="94" t="inlineStr">
        <is>
          <t>S1</t>
        </is>
      </c>
      <c r="B372" s="21" t="n"/>
      <c r="C372" s="82" t="n"/>
      <c r="D372" s="82" t="n"/>
      <c r="E372" s="82" t="n"/>
      <c r="F372" s="82" t="n"/>
      <c r="G372" s="55" t="n"/>
      <c r="H372" s="55" t="n"/>
      <c r="I372" s="55" t="n"/>
      <c r="J372" s="55" t="n"/>
      <c r="K372" s="55" t="n"/>
      <c r="L372" s="55" t="inlineStr">
        <is>
          <t>X</t>
        </is>
      </c>
      <c r="M372" s="284" t="inlineStr">
        <is>
          <t>Section Name</t>
        </is>
      </c>
      <c r="N372" s="56" t="n"/>
      <c r="O372" s="57" t="n"/>
      <c r="P372" s="58" t="n"/>
      <c r="Q372" s="58" t="n"/>
      <c r="R372" s="58" t="n"/>
      <c r="S372" s="351">
        <f>CEILING(SUMIFS(T373:T378, J373:J378, "&lt;&gt;Yes", A373:A378,"T1"),1)</f>
        <v/>
      </c>
      <c r="U372" s="58" t="n"/>
      <c r="V372" s="58" t="n"/>
      <c r="W372" s="58" t="n"/>
      <c r="X372" s="58" t="n"/>
      <c r="Y372" s="58" t="n"/>
      <c r="Z372" s="58" t="n"/>
      <c r="AA372" s="58" t="n"/>
      <c r="AB372" s="58" t="n"/>
      <c r="AC372" s="58" t="n"/>
      <c r="AD372" s="26">
        <f>IF(M372="", "Section name cannot be empty.", "")</f>
        <v/>
      </c>
    </row>
    <row r="373" hidden="1" outlineLevel="1" ht="1.5" customFormat="1" customHeight="1" s="11">
      <c r="A373" s="94" t="inlineStr">
        <is>
          <t>S2</t>
        </is>
      </c>
      <c r="B373" s="18" t="n"/>
      <c r="C373" s="78" t="n"/>
      <c r="D373" s="78" t="n"/>
      <c r="E373" s="78" t="n"/>
      <c r="F373" s="78" t="n"/>
      <c r="G373" s="241" t="n"/>
      <c r="H373" s="241" t="n"/>
      <c r="I373" s="241" t="n"/>
      <c r="J373" s="241" t="n"/>
      <c r="K373" s="241" t="n"/>
      <c r="L373" s="29" t="n">
        <v>0</v>
      </c>
      <c r="M373" s="285" t="n"/>
      <c r="N373" s="241" t="n"/>
      <c r="O373" s="241" t="n"/>
      <c r="P373" s="241" t="n"/>
      <c r="Q373" s="241" t="n"/>
      <c r="R373" s="241" t="n"/>
      <c r="S373" s="241" t="n"/>
      <c r="T373" s="30" t="n"/>
      <c r="U373" s="241" t="n"/>
      <c r="V373" s="241" t="n"/>
      <c r="W373" s="241" t="n"/>
      <c r="X373" s="30" t="n"/>
      <c r="Y373" s="241" t="n"/>
      <c r="Z373" s="241" t="n"/>
      <c r="AA373" s="241" t="n"/>
      <c r="AB373" s="103" t="n"/>
      <c r="AC373" s="103" t="n"/>
      <c r="AD373" s="60" t="n"/>
    </row>
    <row r="374" hidden="1" outlineLevel="1" ht="15.5" customFormat="1" customHeight="1" s="17">
      <c r="A374" s="94" t="inlineStr">
        <is>
          <t>T1</t>
        </is>
      </c>
      <c r="B374" s="21" t="n"/>
      <c r="C374" s="84" t="n"/>
      <c r="D374" s="84" t="n"/>
      <c r="E374" s="84" t="n"/>
      <c r="F374" s="83" t="n"/>
      <c r="G374" s="32" t="n"/>
      <c r="H374" s="32" t="n"/>
      <c r="I374" s="32" t="n"/>
      <c r="J374" s="32" t="n"/>
      <c r="K374" s="32" t="n"/>
      <c r="L374" s="20">
        <f>LOOKUP(1000,INDIRECT("L1:"&amp;CELL("address",INDIRECT("R[-1]C",FALSE))))+1</f>
        <v/>
      </c>
      <c r="M374" s="301" t="inlineStr">
        <is>
          <t>Task Name</t>
        </is>
      </c>
      <c r="N374" s="352" t="n"/>
      <c r="O374" s="5" t="n"/>
      <c r="P374" s="33" t="n"/>
      <c r="Q374" s="33" t="n"/>
      <c r="R374" s="33" t="n"/>
      <c r="S374" s="33" t="n"/>
      <c r="T374" s="167">
        <f>IF($S$6="Exclude", SUMIFS(S375:S377, J375:J377, "&lt;&gt;Yes", G375:G377, "&lt;&gt;Yes"), SUMIFS(S375:S377, J375:J377, "&lt;&gt;Yes"))</f>
        <v/>
      </c>
      <c r="U374" s="33" t="n"/>
      <c r="V374" s="33" t="n"/>
      <c r="W374" s="33" t="n"/>
      <c r="X374" s="34" t="n"/>
      <c r="Y374" s="35" t="n"/>
      <c r="Z374" s="35" t="n"/>
      <c r="AA374" s="35" t="n"/>
      <c r="AB374" s="240" t="inlineStr">
        <is>
          <t>&gt;&gt; Out of scope activity 1</t>
        </is>
      </c>
      <c r="AC374" s="36" t="n"/>
      <c r="AD374" s="26">
        <f>IF(M374="", "Error: Task name cannot be empty.", "")</f>
        <v/>
      </c>
    </row>
    <row r="375" hidden="1" outlineLevel="2" ht="1.5" customFormat="1" customHeight="1" s="15">
      <c r="A375" s="94" t="inlineStr">
        <is>
          <t>T2</t>
        </is>
      </c>
      <c r="B375" s="21" t="n"/>
      <c r="C375" s="84" t="n"/>
      <c r="D375" s="84" t="n"/>
      <c r="E375" s="84" t="n"/>
      <c r="F375" s="83" t="n"/>
      <c r="G375" s="32" t="n"/>
      <c r="H375" s="32" t="n"/>
      <c r="I375" s="32" t="n"/>
      <c r="J375" s="32" t="n"/>
      <c r="K375" s="32" t="n"/>
      <c r="L375" s="175">
        <f>L374</f>
        <v/>
      </c>
      <c r="M375" s="176" t="inlineStr">
        <is>
          <t>X</t>
        </is>
      </c>
      <c r="N375" s="173" t="n"/>
      <c r="O375" s="174" t="n"/>
      <c r="P375" s="33" t="n"/>
      <c r="Q375" s="33" t="n"/>
      <c r="R375" s="33" t="n"/>
      <c r="S375" s="33" t="n"/>
      <c r="T375" s="167" t="n"/>
      <c r="U375" s="33" t="n"/>
      <c r="V375" s="33" t="n"/>
      <c r="W375" s="33" t="n"/>
      <c r="X375" s="34" t="n"/>
      <c r="Y375" s="35" t="n"/>
      <c r="Z375" s="35" t="n"/>
      <c r="AA375" s="35" t="n"/>
      <c r="AB375" s="36" t="n"/>
      <c r="AC375" s="36" t="n"/>
      <c r="AD375" s="26" t="n"/>
    </row>
    <row r="376" hidden="1" outlineLevel="2" ht="58" customHeight="1" s="232">
      <c r="A376" s="94" t="inlineStr">
        <is>
          <t>A</t>
        </is>
      </c>
      <c r="B376" s="21" t="n"/>
      <c r="C376" s="85" t="n"/>
      <c r="D376" s="85" t="n"/>
      <c r="E376" s="85" t="n"/>
      <c r="F376" s="86" t="n"/>
      <c r="G376" s="22" t="inlineStr">
        <is>
          <t>-</t>
        </is>
      </c>
      <c r="H376" s="22" t="inlineStr">
        <is>
          <t>-</t>
        </is>
      </c>
      <c r="I376" s="23" t="inlineStr">
        <is>
          <t>-</t>
        </is>
      </c>
      <c r="J376" s="22" t="inlineStr">
        <is>
          <t>-</t>
        </is>
      </c>
      <c r="K376" s="38" t="n"/>
      <c r="L376" s="22" t="n"/>
      <c r="M376" s="286">
        <f>IFERROR(OFFSET(M376,-1,,1,1)+0.1,OFFSET(M376,-1,-1,1,1)&amp;".1")</f>
        <v/>
      </c>
      <c r="N376" s="23" t="inlineStr">
        <is>
          <t>Task activity
&gt;&gt; Scope Item 1 
&gt;&gt; Scope Item 2
&gt;&gt; Scope Item 3</t>
        </is>
      </c>
      <c r="O376" s="23" t="n"/>
      <c r="P376" s="23" t="n"/>
      <c r="Q376" s="144" t="n"/>
      <c r="R376" s="137" t="n"/>
      <c r="S376" s="169">
        <f>CEILING((IF(J376="Yes", 0, IF(H376="-",AA376,AA376+AA376*VLOOKUP(H376,BUFFERS_BY_TYPE,2,FALSE)))) +
   (IF(J376="Yes", 0, IF(H376="-",AA376,AA376+AA376*VLOOKUP(H376,BUFFERS_BY_TYPE,2,FALSE))))*VLOOKUP($S$5, SALES_CALL_SCALE_ARRAY, 2,FALSE),0.25)</f>
        <v/>
      </c>
      <c r="T376" s="170" t="n"/>
      <c r="U376" s="24" t="n">
        <v>0</v>
      </c>
      <c r="V376" s="24" t="n">
        <v>1</v>
      </c>
      <c r="W376" s="24" t="n">
        <v>0</v>
      </c>
      <c r="X376" s="168" t="n"/>
      <c r="Y376" s="169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/>
      </c>
      <c r="Z376" s="25" t="n"/>
      <c r="AA376" s="169">
        <f>Y376+Y376*VLOOKUP(I376,EXTRAS_ARRAY,2,FALSE)</f>
        <v/>
      </c>
      <c r="AB376" s="23" t="inlineStr">
        <is>
          <t>&gt;&gt; Assumption 1
&gt;&gt; Assumption 2</t>
        </is>
      </c>
      <c r="AC376" s="37" t="n"/>
      <c r="AD376" s="26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hidden="1" outlineLevel="2" ht="7.5" customFormat="1" customHeight="1" s="11">
      <c r="A377" s="94" t="inlineStr">
        <is>
          <t>T3</t>
        </is>
      </c>
      <c r="B377" s="18" t="n"/>
      <c r="C377" s="78" t="n"/>
      <c r="D377" s="78" t="n"/>
      <c r="E377" s="78" t="n"/>
      <c r="F377" s="78" t="n"/>
      <c r="G377" s="11" t="n"/>
      <c r="H377" s="11" t="n"/>
      <c r="I377" s="11" t="n"/>
      <c r="J377" s="11" t="n"/>
      <c r="K377" s="11" t="n"/>
      <c r="L377" s="11" t="n"/>
      <c r="M377" s="287" t="n"/>
      <c r="N377" s="11" t="n"/>
      <c r="O377" s="11" t="n"/>
      <c r="P377" s="11" t="n"/>
      <c r="Q377" s="11" t="n"/>
      <c r="R377" s="11" t="n"/>
      <c r="S377" s="11" t="n"/>
      <c r="T377" s="18" t="n"/>
      <c r="U377" s="11" t="n"/>
      <c r="V377" s="11" t="n"/>
      <c r="W377" s="11" t="n"/>
      <c r="X377" s="18" t="n"/>
      <c r="Y377" s="11" t="n"/>
      <c r="Z377" s="11" t="n"/>
      <c r="AA377" s="11" t="n"/>
      <c r="AB377" s="60" t="n"/>
      <c r="AC377" s="60" t="n"/>
      <c r="AD377" s="60" t="n"/>
    </row>
    <row r="378" hidden="1" outlineLevel="1" ht="1.5" customFormat="1" customHeight="1" s="11">
      <c r="A378" s="94" t="inlineStr">
        <is>
          <t>S3</t>
        </is>
      </c>
      <c r="B378" s="11" t="n"/>
      <c r="C378" s="78" t="n"/>
      <c r="D378" s="78" t="n"/>
      <c r="E378" s="78" t="n"/>
      <c r="F378" s="78" t="n"/>
      <c r="G378" s="241" t="n"/>
      <c r="H378" s="241" t="n"/>
      <c r="I378" s="241" t="n"/>
      <c r="J378" s="241" t="n"/>
      <c r="K378" s="241" t="n"/>
      <c r="L378" s="61" t="n"/>
      <c r="M378" s="288" t="n"/>
      <c r="N378" s="62" t="n"/>
      <c r="O378" s="62" t="n"/>
      <c r="P378" s="61" t="n"/>
      <c r="Q378" s="61" t="n"/>
      <c r="R378" s="61" t="n"/>
      <c r="S378" s="61" t="n"/>
      <c r="T378" s="61" t="n"/>
      <c r="U378" s="61" t="n"/>
      <c r="V378" s="61" t="n"/>
      <c r="W378" s="61" t="n"/>
      <c r="X378" s="61" t="n"/>
      <c r="Y378" s="61" t="n"/>
      <c r="Z378" s="61" t="n"/>
      <c r="AA378" s="61" t="n"/>
      <c r="AB378" s="62" t="n"/>
      <c r="AC378" s="62" t="n"/>
      <c r="AD378" s="60" t="n"/>
    </row>
    <row r="379" hidden="1" collapsed="1" s="232"/>
    <row r="380" hidden="1" outlineLevel="1" ht="15.5" customFormat="1" customHeight="1" s="17">
      <c r="A380" s="94" t="inlineStr">
        <is>
          <t>M</t>
        </is>
      </c>
      <c r="B380" s="21" t="n"/>
      <c r="C380" s="84" t="n"/>
      <c r="D380" s="84" t="n"/>
      <c r="E380" s="84" t="n"/>
      <c r="F380" s="83" t="n"/>
      <c r="G380" s="185" t="n"/>
      <c r="H380" s="185" t="n"/>
      <c r="I380" s="185" t="n"/>
      <c r="J380" s="185" t="n"/>
      <c r="K380" s="185" t="n"/>
      <c r="L380" s="92" t="inlineStr">
        <is>
          <t>→</t>
        </is>
      </c>
      <c r="M380" s="299" t="inlineStr">
        <is>
          <t>Task Group Name</t>
        </is>
      </c>
      <c r="N380" s="352" t="n"/>
      <c r="O380" s="87" t="n"/>
      <c r="P380" s="88" t="n"/>
      <c r="Q380" s="88" t="n"/>
      <c r="R380" s="88" t="n"/>
      <c r="S380" s="354">
        <f>SUMGROUP(ROW(), "T")</f>
        <v/>
      </c>
      <c r="U380" s="298" t="n"/>
      <c r="V380" s="352" t="n"/>
      <c r="W380" s="352" t="n"/>
      <c r="X380" s="89" t="n"/>
      <c r="Y380" s="90" t="n"/>
      <c r="Z380" s="90" t="n"/>
      <c r="AA380" s="90" t="n"/>
      <c r="AB380" s="243" t="n"/>
      <c r="AC380" s="91" t="n"/>
      <c r="AD380" s="26">
        <f>IF(M380="", "Error: Module name cannot be empty.", "")</f>
        <v/>
      </c>
    </row>
    <row r="381" hidden="1" s="232"/>
    <row r="382" ht="20.25" customFormat="1" customHeight="1" s="11">
      <c r="A382" s="94" t="n"/>
      <c r="B382" s="11" t="n"/>
      <c r="C382" s="78" t="n"/>
      <c r="D382" s="78" t="n"/>
      <c r="E382" s="78" t="n"/>
      <c r="F382" s="78" t="n"/>
      <c r="G382" s="43" t="n"/>
      <c r="H382" s="43" t="n"/>
      <c r="I382" s="43" t="n"/>
      <c r="J382" s="43" t="n"/>
      <c r="K382" s="43" t="n"/>
      <c r="L382" s="43" t="n"/>
      <c r="M382" s="281" t="n"/>
      <c r="N382" s="43" t="n"/>
      <c r="O382" s="43" t="n"/>
      <c r="P382" s="43" t="n"/>
      <c r="Q382" s="43" t="n"/>
      <c r="R382" s="43" t="n"/>
      <c r="S382" s="43" t="n"/>
      <c r="T382" s="43" t="n"/>
      <c r="U382" s="43" t="n"/>
      <c r="V382" s="43" t="n"/>
      <c r="W382" s="43" t="n"/>
      <c r="X382" s="43" t="n"/>
      <c r="Y382" s="43" t="n"/>
      <c r="Z382" s="43" t="n"/>
      <c r="AA382" s="43" t="n"/>
      <c r="AB382" s="43" t="n"/>
      <c r="AC382" s="43" t="n"/>
      <c r="AD382" s="60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xh/p3uUccfGQhjtfudOFg==" formatRows="1" sort="1" spinCount="100000" hashValue="inNwiZgd3ukz8Cn7uRHkwUn59yu3Ln7wUCyFw23oRMEQOGZH2ju0nFTU2w5Zo8gLBU5FGpU3Jny/aAD0OunL6w=="/>
  <mergeCells count="91">
    <mergeCell ref="G370:H370"/>
    <mergeCell ref="T244:U244"/>
    <mergeCell ref="S173:T173"/>
    <mergeCell ref="O225:O226"/>
    <mergeCell ref="M138:N138"/>
    <mergeCell ref="M374:N374"/>
    <mergeCell ref="S112:T112"/>
    <mergeCell ref="G222:H222"/>
    <mergeCell ref="U10:W10"/>
    <mergeCell ref="M124:N124"/>
    <mergeCell ref="W228:X228"/>
    <mergeCell ref="U137:W137"/>
    <mergeCell ref="M33:N33"/>
    <mergeCell ref="M198:N198"/>
    <mergeCell ref="C10:F10"/>
    <mergeCell ref="S372:T372"/>
    <mergeCell ref="M47:N47"/>
    <mergeCell ref="T243:U243"/>
    <mergeCell ref="M143:N143"/>
    <mergeCell ref="M118:N118"/>
    <mergeCell ref="S12:T12"/>
    <mergeCell ref="M129:N129"/>
    <mergeCell ref="C12:E12"/>
    <mergeCell ref="W233:X233"/>
    <mergeCell ref="W230:X230"/>
    <mergeCell ref="U143:W143"/>
    <mergeCell ref="U112:W112"/>
    <mergeCell ref="M144:N144"/>
    <mergeCell ref="Y237:AA241"/>
    <mergeCell ref="U118:W118"/>
    <mergeCell ref="P301:Q303"/>
    <mergeCell ref="M128:N128"/>
    <mergeCell ref="S203:T203"/>
    <mergeCell ref="W232:X232"/>
    <mergeCell ref="M137:N137"/>
    <mergeCell ref="W225:X226"/>
    <mergeCell ref="S128:T128"/>
    <mergeCell ref="S137:T137"/>
    <mergeCell ref="Q233:V233"/>
    <mergeCell ref="M41:N41"/>
    <mergeCell ref="G250:H250"/>
    <mergeCell ref="M163:N163"/>
    <mergeCell ref="S65:T65"/>
    <mergeCell ref="M207:T208"/>
    <mergeCell ref="M380:N380"/>
    <mergeCell ref="M76:N76"/>
    <mergeCell ref="Q235:V235"/>
    <mergeCell ref="M156:N156"/>
    <mergeCell ref="W231:X231"/>
    <mergeCell ref="S143:T143"/>
    <mergeCell ref="M83:N83"/>
    <mergeCell ref="M188:N188"/>
    <mergeCell ref="M67:N67"/>
    <mergeCell ref="M180:N180"/>
    <mergeCell ref="M119:N119"/>
    <mergeCell ref="P293:Q294"/>
    <mergeCell ref="G9:J9"/>
    <mergeCell ref="P225:P226"/>
    <mergeCell ref="G205:H205"/>
    <mergeCell ref="S196:T196"/>
    <mergeCell ref="M104:N104"/>
    <mergeCell ref="M26:N26"/>
    <mergeCell ref="M97:N97"/>
    <mergeCell ref="W235:X236"/>
    <mergeCell ref="S95:T95"/>
    <mergeCell ref="U128:W128"/>
    <mergeCell ref="C2:F9"/>
    <mergeCell ref="N262:N264"/>
    <mergeCell ref="M184:N184"/>
    <mergeCell ref="Q224:V224"/>
    <mergeCell ref="S380:T380"/>
    <mergeCell ref="J5:K5"/>
    <mergeCell ref="M113:N113"/>
    <mergeCell ref="U380:W380"/>
    <mergeCell ref="W227:X227"/>
    <mergeCell ref="S11:T11"/>
    <mergeCell ref="M20:N20"/>
    <mergeCell ref="M151:N151"/>
    <mergeCell ref="S118:T118"/>
    <mergeCell ref="M175:N175"/>
    <mergeCell ref="G3:J3"/>
    <mergeCell ref="P10:R10"/>
    <mergeCell ref="W229:X229"/>
    <mergeCell ref="M14:N14"/>
    <mergeCell ref="M72:N72"/>
    <mergeCell ref="M112:N112"/>
    <mergeCell ref="C11:F11"/>
    <mergeCell ref="P288:R291"/>
    <mergeCell ref="S135:T135"/>
    <mergeCell ref="AB5:AB6"/>
    <mergeCell ref="M56:N56"/>
  </mergeCells>
  <conditionalFormatting sqref="B227">
    <cfRule type="cellIs" priority="9994" operator="equal" dxfId="11">
      <formula>"."</formula>
    </cfRule>
  </conditionalFormatting>
  <conditionalFormatting sqref="C224:E224 C243:E246">
    <cfRule type="expression" priority="9874" dxfId="3">
      <formula>$H224&lt;&gt;""</formula>
    </cfRule>
  </conditionalFormatting>
  <conditionalFormatting sqref="C225:E233">
    <cfRule type="expression" priority="9872" dxfId="3">
      <formula>$H225&lt;&gt;""</formula>
    </cfRule>
  </conditionalFormatting>
  <conditionalFormatting sqref="B225">
    <cfRule type="cellIs" priority="9868" operator="equal" dxfId="11">
      <formula>"."</formula>
    </cfRule>
  </conditionalFormatting>
  <conditionalFormatting sqref="B376">
    <cfRule type="expression" priority="9763" dxfId="11">
      <formula>AD376&lt;&gt;""</formula>
    </cfRule>
  </conditionalFormatting>
  <conditionalFormatting sqref="Z376">
    <cfRule type="cellIs" priority="9761" operator="greaterThan" dxfId="10">
      <formula>0</formula>
    </cfRule>
    <cfRule type="cellIs" priority="9762" operator="lessThan" dxfId="9">
      <formula>0</formula>
    </cfRule>
  </conditionalFormatting>
  <conditionalFormatting sqref="S376">
    <cfRule type="cellIs" priority="9760" operator="lessThan" dxfId="8">
      <formula>0</formula>
    </cfRule>
  </conditionalFormatting>
  <conditionalFormatting sqref="T374:T375">
    <cfRule type="expression" priority="9764" dxfId="4">
      <formula>#REF!="Yes"</formula>
    </cfRule>
  </conditionalFormatting>
  <conditionalFormatting sqref="P376">
    <cfRule type="cellIs" priority="9757" operator="equal" dxfId="7">
      <formula>AS_DURATION_EFFORT</formula>
    </cfRule>
    <cfRule type="cellIs" priority="9758" operator="equal" dxfId="6">
      <formula>AS_DEV_EFFORT</formula>
    </cfRule>
  </conditionalFormatting>
  <conditionalFormatting sqref="S380">
    <cfRule type="expression" priority="9573" dxfId="4">
      <formula>#REF!="Yes"</formula>
    </cfRule>
  </conditionalFormatting>
  <conditionalFormatting sqref="B372">
    <cfRule type="expression" priority="9565" dxfId="11">
      <formula>AD372&lt;&gt;""</formula>
    </cfRule>
  </conditionalFormatting>
  <conditionalFormatting sqref="B374:B375">
    <cfRule type="expression" priority="9564" dxfId="11">
      <formula>AD374&lt;&gt;""</formula>
    </cfRule>
  </conditionalFormatting>
  <conditionalFormatting sqref="B380">
    <cfRule type="expression" priority="9563" dxfId="11">
      <formula>AD380&lt;&gt;""</formula>
    </cfRule>
  </conditionalFormatting>
  <conditionalFormatting sqref="L16:AC17 L23:AC24 L28:M28 L35:M35 L43:M43 L49:M49 L58:M58 L69:AC70 L74:AC74 L78:AC81 L85:AC92 L99:AC102 L106:AC110 L115:AC116 L121:AC122 L126:AC126 L131:AC132 L153:AC153 L154:N154 L158:AC158 L159:AA159 L160:AC161 L165:AC168 L177:AC178 L182:AC182 L186:AC186 L190:AC193 L200:AC200 L376:AC376 O28:AC28 O35:AC35 O49:AC49 P43:AC43 P58:AC58 R154:AC154 AC159">
    <cfRule type="expression" priority="11852" dxfId="5">
      <formula>AND($G16="Yes", $S$6="Exclude")</formula>
    </cfRule>
    <cfRule type="expression" priority="11853" dxfId="4">
      <formula>$J16="Yes"</formula>
    </cfRule>
  </conditionalFormatting>
  <conditionalFormatting sqref="T5">
    <cfRule type="expression" priority="9146" dxfId="1043">
      <formula>OR($S$5="Reduce by:", $S$5="Increase by:")</formula>
    </cfRule>
  </conditionalFormatting>
  <conditionalFormatting sqref="F376">
    <cfRule type="expression" priority="6396" dxfId="3">
      <formula>$K376&lt;&gt;""</formula>
    </cfRule>
  </conditionalFormatting>
  <conditionalFormatting sqref="C376">
    <cfRule type="expression" priority="6352" dxfId="2">
      <formula>$G376&lt;&gt;"-"</formula>
    </cfRule>
  </conditionalFormatting>
  <conditionalFormatting sqref="D376">
    <cfRule type="expression" priority="6350" dxfId="1">
      <formula>$H376&lt;&gt;"-"</formula>
    </cfRule>
  </conditionalFormatting>
  <conditionalFormatting sqref="E376">
    <cfRule type="expression" priority="6349" dxfId="0">
      <formula>$I376&lt;&gt;"-"</formula>
    </cfRule>
  </conditionalFormatting>
  <conditionalFormatting sqref="B228">
    <cfRule type="cellIs" priority="2793" operator="equal" dxfId="11">
      <formula>"."</formula>
    </cfRule>
  </conditionalFormatting>
  <conditionalFormatting sqref="B229">
    <cfRule type="cellIs" priority="2792" operator="equal" dxfId="11">
      <formula>"."</formula>
    </cfRule>
  </conditionalFormatting>
  <conditionalFormatting sqref="B230">
    <cfRule type="cellIs" priority="2791" operator="equal" dxfId="11">
      <formula>"."</formula>
    </cfRule>
  </conditionalFormatting>
  <conditionalFormatting sqref="B231">
    <cfRule type="cellIs" priority="2790" operator="equal" dxfId="11">
      <formula>"."</formula>
    </cfRule>
  </conditionalFormatting>
  <conditionalFormatting sqref="B232">
    <cfRule type="cellIs" priority="2789" operator="equal" dxfId="11">
      <formula>"."</formula>
    </cfRule>
  </conditionalFormatting>
  <conditionalFormatting sqref="B16">
    <cfRule type="expression" priority="2785" dxfId="11">
      <formula>AD16&lt;&gt;""</formula>
    </cfRule>
  </conditionalFormatting>
  <conditionalFormatting sqref="Z16">
    <cfRule type="cellIs" priority="2783" operator="greaterThan" dxfId="10">
      <formula>0</formula>
    </cfRule>
    <cfRule type="cellIs" priority="2784" operator="lessThan" dxfId="9">
      <formula>0</formula>
    </cfRule>
  </conditionalFormatting>
  <conditionalFormatting sqref="S16">
    <cfRule type="cellIs" priority="2782" operator="lessThan" dxfId="8">
      <formula>0</formula>
    </cfRule>
  </conditionalFormatting>
  <conditionalFormatting sqref="T14:T15">
    <cfRule type="expression" priority="2786" dxfId="4">
      <formula>#REF!="Yes"</formula>
    </cfRule>
  </conditionalFormatting>
  <conditionalFormatting sqref="P16">
    <cfRule type="cellIs" priority="2780" operator="equal" dxfId="7">
      <formula>AS_DURATION_EFFORT</formula>
    </cfRule>
    <cfRule type="cellIs" priority="2781" operator="equal" dxfId="6">
      <formula>AS_DEV_EFFORT</formula>
    </cfRule>
  </conditionalFormatting>
  <conditionalFormatting sqref="B14:B15">
    <cfRule type="expression" priority="2779" dxfId="11">
      <formula>AD14&lt;&gt;""</formula>
    </cfRule>
  </conditionalFormatting>
  <conditionalFormatting sqref="F16">
    <cfRule type="expression" priority="2778" dxfId="3">
      <formula>$K16&lt;&gt;""</formula>
    </cfRule>
  </conditionalFormatting>
  <conditionalFormatting sqref="C16">
    <cfRule type="expression" priority="2777" dxfId="2">
      <formula>$G16&lt;&gt;"-"</formula>
    </cfRule>
  </conditionalFormatting>
  <conditionalFormatting sqref="D16">
    <cfRule type="expression" priority="2776" dxfId="1">
      <formula>$H16&lt;&gt;"-"</formula>
    </cfRule>
  </conditionalFormatting>
  <conditionalFormatting sqref="E16">
    <cfRule type="expression" priority="2775" dxfId="0">
      <formula>$I16&lt;&gt;"-"</formula>
    </cfRule>
  </conditionalFormatting>
  <conditionalFormatting sqref="B17">
    <cfRule type="expression" priority="2772" dxfId="11">
      <formula>AD17&lt;&gt;""</formula>
    </cfRule>
  </conditionalFormatting>
  <conditionalFormatting sqref="Z17">
    <cfRule type="cellIs" priority="2770" operator="greaterThan" dxfId="10">
      <formula>0</formula>
    </cfRule>
    <cfRule type="cellIs" priority="2771" operator="lessThan" dxfId="9">
      <formula>0</formula>
    </cfRule>
  </conditionalFormatting>
  <conditionalFormatting sqref="S17">
    <cfRule type="cellIs" priority="2769" operator="lessThan" dxfId="8">
      <formula>0</formula>
    </cfRule>
  </conditionalFormatting>
  <conditionalFormatting sqref="P17">
    <cfRule type="cellIs" priority="2767" operator="equal" dxfId="7">
      <formula>AS_DURATION_EFFORT</formula>
    </cfRule>
    <cfRule type="cellIs" priority="2768" operator="equal" dxfId="6">
      <formula>AS_DEV_EFFORT</formula>
    </cfRule>
  </conditionalFormatting>
  <conditionalFormatting sqref="F17">
    <cfRule type="expression" priority="2766" dxfId="3">
      <formula>$K17&lt;&gt;""</formula>
    </cfRule>
  </conditionalFormatting>
  <conditionalFormatting sqref="C17">
    <cfRule type="expression" priority="2765" dxfId="2">
      <formula>$G17&lt;&gt;"-"</formula>
    </cfRule>
  </conditionalFormatting>
  <conditionalFormatting sqref="D17">
    <cfRule type="expression" priority="2764" dxfId="1">
      <formula>$H17&lt;&gt;"-"</formula>
    </cfRule>
  </conditionalFormatting>
  <conditionalFormatting sqref="E17">
    <cfRule type="expression" priority="2763" dxfId="0">
      <formula>$I17&lt;&gt;"-"</formula>
    </cfRule>
  </conditionalFormatting>
  <conditionalFormatting sqref="B69">
    <cfRule type="expression" priority="2759" dxfId="11">
      <formula>AD69&lt;&gt;""</formula>
    </cfRule>
  </conditionalFormatting>
  <conditionalFormatting sqref="Z69">
    <cfRule type="cellIs" priority="2757" operator="greaterThan" dxfId="10">
      <formula>0</formula>
    </cfRule>
    <cfRule type="cellIs" priority="2758" operator="lessThan" dxfId="9">
      <formula>0</formula>
    </cfRule>
  </conditionalFormatting>
  <conditionalFormatting sqref="S69">
    <cfRule type="cellIs" priority="2756" operator="lessThan" dxfId="8">
      <formula>0</formula>
    </cfRule>
  </conditionalFormatting>
  <conditionalFormatting sqref="T67:T68">
    <cfRule type="expression" priority="2760" dxfId="4">
      <formula>#REF!="Yes"</formula>
    </cfRule>
  </conditionalFormatting>
  <conditionalFormatting sqref="P69">
    <cfRule type="cellIs" priority="2754" operator="equal" dxfId="7">
      <formula>AS_DURATION_EFFORT</formula>
    </cfRule>
    <cfRule type="cellIs" priority="2755" operator="equal" dxfId="6">
      <formula>AS_DEV_EFFORT</formula>
    </cfRule>
  </conditionalFormatting>
  <conditionalFormatting sqref="B67:B68">
    <cfRule type="expression" priority="2753" dxfId="11">
      <formula>AD67&lt;&gt;""</formula>
    </cfRule>
  </conditionalFormatting>
  <conditionalFormatting sqref="F69">
    <cfRule type="expression" priority="2752" dxfId="3">
      <formula>$K69&lt;&gt;""</formula>
    </cfRule>
  </conditionalFormatting>
  <conditionalFormatting sqref="C69">
    <cfRule type="expression" priority="2751" dxfId="2">
      <formula>$G69&lt;&gt;"-"</formula>
    </cfRule>
  </conditionalFormatting>
  <conditionalFormatting sqref="D69">
    <cfRule type="expression" priority="2750" dxfId="1">
      <formula>$H69&lt;&gt;"-"</formula>
    </cfRule>
  </conditionalFormatting>
  <conditionalFormatting sqref="E69">
    <cfRule type="expression" priority="2749" dxfId="0">
      <formula>$I69&lt;&gt;"-"</formula>
    </cfRule>
  </conditionalFormatting>
  <conditionalFormatting sqref="B99">
    <cfRule type="expression" priority="2689" dxfId="11">
      <formula>AD99&lt;&gt;""</formula>
    </cfRule>
  </conditionalFormatting>
  <conditionalFormatting sqref="Z99">
    <cfRule type="cellIs" priority="2687" operator="greaterThan" dxfId="10">
      <formula>0</formula>
    </cfRule>
    <cfRule type="cellIs" priority="2688" operator="lessThan" dxfId="9">
      <formula>0</formula>
    </cfRule>
  </conditionalFormatting>
  <conditionalFormatting sqref="S99">
    <cfRule type="cellIs" priority="2686" operator="lessThan" dxfId="8">
      <formula>0</formula>
    </cfRule>
  </conditionalFormatting>
  <conditionalFormatting sqref="T97:T98">
    <cfRule type="expression" priority="2690" dxfId="4">
      <formula>#REF!="Yes"</formula>
    </cfRule>
  </conditionalFormatting>
  <conditionalFormatting sqref="P99">
    <cfRule type="cellIs" priority="2684" operator="equal" dxfId="7">
      <formula>AS_DURATION_EFFORT</formula>
    </cfRule>
    <cfRule type="cellIs" priority="2685" operator="equal" dxfId="6">
      <formula>AS_DEV_EFFORT</formula>
    </cfRule>
  </conditionalFormatting>
  <conditionalFormatting sqref="B97:B98">
    <cfRule type="expression" priority="2683" dxfId="11">
      <formula>AD97&lt;&gt;""</formula>
    </cfRule>
  </conditionalFormatting>
  <conditionalFormatting sqref="F99">
    <cfRule type="expression" priority="2682" dxfId="3">
      <formula>$K99&lt;&gt;""</formula>
    </cfRule>
  </conditionalFormatting>
  <conditionalFormatting sqref="C99">
    <cfRule type="expression" priority="2681" dxfId="2">
      <formula>$G99&lt;&gt;"-"</formula>
    </cfRule>
  </conditionalFormatting>
  <conditionalFormatting sqref="D99">
    <cfRule type="expression" priority="2680" dxfId="1">
      <formula>$H99&lt;&gt;"-"</formula>
    </cfRule>
  </conditionalFormatting>
  <conditionalFormatting sqref="E99">
    <cfRule type="expression" priority="2679" dxfId="0">
      <formula>$I99&lt;&gt;"-"</formula>
    </cfRule>
  </conditionalFormatting>
  <conditionalFormatting sqref="B121">
    <cfRule type="expression" priority="2675" dxfId="11">
      <formula>AD121&lt;&gt;""</formula>
    </cfRule>
  </conditionalFormatting>
  <conditionalFormatting sqref="Z121">
    <cfRule type="cellIs" priority="2673" operator="greaterThan" dxfId="10">
      <formula>0</formula>
    </cfRule>
    <cfRule type="cellIs" priority="2674" operator="lessThan" dxfId="9">
      <formula>0</formula>
    </cfRule>
  </conditionalFormatting>
  <conditionalFormatting sqref="S121">
    <cfRule type="cellIs" priority="2672" operator="lessThan" dxfId="8">
      <formula>0</formula>
    </cfRule>
  </conditionalFormatting>
  <conditionalFormatting sqref="T119:T120">
    <cfRule type="expression" priority="2676" dxfId="4">
      <formula>#REF!="Yes"</formula>
    </cfRule>
  </conditionalFormatting>
  <conditionalFormatting sqref="P121">
    <cfRule type="cellIs" priority="2670" operator="equal" dxfId="7">
      <formula>AS_DURATION_EFFORT</formula>
    </cfRule>
    <cfRule type="cellIs" priority="2671" operator="equal" dxfId="6">
      <formula>AS_DEV_EFFORT</formula>
    </cfRule>
  </conditionalFormatting>
  <conditionalFormatting sqref="B119:B120">
    <cfRule type="expression" priority="2669" dxfId="11">
      <formula>AD119&lt;&gt;""</formula>
    </cfRule>
  </conditionalFormatting>
  <conditionalFormatting sqref="F121">
    <cfRule type="expression" priority="2668" dxfId="3">
      <formula>$K121&lt;&gt;""</formula>
    </cfRule>
  </conditionalFormatting>
  <conditionalFormatting sqref="C121">
    <cfRule type="expression" priority="2667" dxfId="2">
      <formula>$G121&lt;&gt;"-"</formula>
    </cfRule>
  </conditionalFormatting>
  <conditionalFormatting sqref="D121">
    <cfRule type="expression" priority="2666" dxfId="1">
      <formula>$H121&lt;&gt;"-"</formula>
    </cfRule>
  </conditionalFormatting>
  <conditionalFormatting sqref="E121">
    <cfRule type="expression" priority="2665" dxfId="0">
      <formula>$I121&lt;&gt;"-"</formula>
    </cfRule>
  </conditionalFormatting>
  <conditionalFormatting sqref="B115">
    <cfRule type="expression" priority="2661" dxfId="11">
      <formula>AD115&lt;&gt;""</formula>
    </cfRule>
  </conditionalFormatting>
  <conditionalFormatting sqref="Z115">
    <cfRule type="cellIs" priority="2659" operator="greaterThan" dxfId="10">
      <formula>0</formula>
    </cfRule>
    <cfRule type="cellIs" priority="2660" operator="lessThan" dxfId="9">
      <formula>0</formula>
    </cfRule>
  </conditionalFormatting>
  <conditionalFormatting sqref="S115">
    <cfRule type="cellIs" priority="2658" operator="lessThan" dxfId="8">
      <formula>0</formula>
    </cfRule>
  </conditionalFormatting>
  <conditionalFormatting sqref="T113:T114">
    <cfRule type="expression" priority="2662" dxfId="4">
      <formula>#REF!="Yes"</formula>
    </cfRule>
  </conditionalFormatting>
  <conditionalFormatting sqref="P115">
    <cfRule type="cellIs" priority="2656" operator="equal" dxfId="7">
      <formula>AS_DURATION_EFFORT</formula>
    </cfRule>
    <cfRule type="cellIs" priority="2657" operator="equal" dxfId="6">
      <formula>AS_DEV_EFFORT</formula>
    </cfRule>
  </conditionalFormatting>
  <conditionalFormatting sqref="B113:B114">
    <cfRule type="expression" priority="2655" dxfId="11">
      <formula>AD113&lt;&gt;""</formula>
    </cfRule>
  </conditionalFormatting>
  <conditionalFormatting sqref="F115">
    <cfRule type="expression" priority="2654" dxfId="3">
      <formula>$K115&lt;&gt;""</formula>
    </cfRule>
  </conditionalFormatting>
  <conditionalFormatting sqref="C115">
    <cfRule type="expression" priority="2653" dxfId="2">
      <formula>$G115&lt;&gt;"-"</formula>
    </cfRule>
  </conditionalFormatting>
  <conditionalFormatting sqref="D115">
    <cfRule type="expression" priority="2652" dxfId="1">
      <formula>$H115&lt;&gt;"-"</formula>
    </cfRule>
  </conditionalFormatting>
  <conditionalFormatting sqref="E115">
    <cfRule type="expression" priority="2651" dxfId="0">
      <formula>$I115&lt;&gt;"-"</formula>
    </cfRule>
  </conditionalFormatting>
  <conditionalFormatting sqref="B106">
    <cfRule type="expression" priority="2647" dxfId="11">
      <formula>AD106&lt;&gt;""</formula>
    </cfRule>
  </conditionalFormatting>
  <conditionalFormatting sqref="Z106">
    <cfRule type="cellIs" priority="2645" operator="greaterThan" dxfId="10">
      <formula>0</formula>
    </cfRule>
    <cfRule type="cellIs" priority="2646" operator="lessThan" dxfId="9">
      <formula>0</formula>
    </cfRule>
  </conditionalFormatting>
  <conditionalFormatting sqref="S106">
    <cfRule type="cellIs" priority="2644" operator="lessThan" dxfId="8">
      <formula>0</formula>
    </cfRule>
  </conditionalFormatting>
  <conditionalFormatting sqref="T104:T105">
    <cfRule type="expression" priority="2648" dxfId="4">
      <formula>#REF!="Yes"</formula>
    </cfRule>
  </conditionalFormatting>
  <conditionalFormatting sqref="P106">
    <cfRule type="cellIs" priority="2642" operator="equal" dxfId="7">
      <formula>AS_DURATION_EFFORT</formula>
    </cfRule>
    <cfRule type="cellIs" priority="2643" operator="equal" dxfId="6">
      <formula>AS_DEV_EFFORT</formula>
    </cfRule>
  </conditionalFormatting>
  <conditionalFormatting sqref="B104:B105">
    <cfRule type="expression" priority="2641" dxfId="11">
      <formula>AD104&lt;&gt;""</formula>
    </cfRule>
  </conditionalFormatting>
  <conditionalFormatting sqref="F106">
    <cfRule type="expression" priority="2640" dxfId="3">
      <formula>$K106&lt;&gt;""</formula>
    </cfRule>
  </conditionalFormatting>
  <conditionalFormatting sqref="C106">
    <cfRule type="expression" priority="2639" dxfId="2">
      <formula>$G106&lt;&gt;"-"</formula>
    </cfRule>
  </conditionalFormatting>
  <conditionalFormatting sqref="D106">
    <cfRule type="expression" priority="2638" dxfId="1">
      <formula>$H106&lt;&gt;"-"</formula>
    </cfRule>
  </conditionalFormatting>
  <conditionalFormatting sqref="E106">
    <cfRule type="expression" priority="2637" dxfId="0">
      <formula>$I106&lt;&gt;"-"</formula>
    </cfRule>
  </conditionalFormatting>
  <conditionalFormatting sqref="S112">
    <cfRule type="expression" priority="2632" dxfId="4">
      <formula>#REF!="Yes"</formula>
    </cfRule>
  </conditionalFormatting>
  <conditionalFormatting sqref="B112">
    <cfRule type="expression" priority="2631" dxfId="11">
      <formula>AD112&lt;&gt;""</formula>
    </cfRule>
  </conditionalFormatting>
  <conditionalFormatting sqref="B23">
    <cfRule type="expression" priority="2627" dxfId="11">
      <formula>AD23&lt;&gt;""</formula>
    </cfRule>
  </conditionalFormatting>
  <conditionalFormatting sqref="Z23">
    <cfRule type="cellIs" priority="2625" operator="greaterThan" dxfId="10">
      <formula>0</formula>
    </cfRule>
    <cfRule type="cellIs" priority="2626" operator="lessThan" dxfId="9">
      <formula>0</formula>
    </cfRule>
  </conditionalFormatting>
  <conditionalFormatting sqref="S23">
    <cfRule type="cellIs" priority="2624" operator="lessThan" dxfId="8">
      <formula>0</formula>
    </cfRule>
  </conditionalFormatting>
  <conditionalFormatting sqref="T20:T21">
    <cfRule type="expression" priority="2628" dxfId="4">
      <formula>#REF!="Yes"</formula>
    </cfRule>
  </conditionalFormatting>
  <conditionalFormatting sqref="P23">
    <cfRule type="cellIs" priority="2622" operator="equal" dxfId="7">
      <formula>AS_DURATION_EFFORT</formula>
    </cfRule>
    <cfRule type="cellIs" priority="2623" operator="equal" dxfId="6">
      <formula>AS_DEV_EFFORT</formula>
    </cfRule>
  </conditionalFormatting>
  <conditionalFormatting sqref="B20:B21">
    <cfRule type="expression" priority="2621" dxfId="11">
      <formula>AD20&lt;&gt;""</formula>
    </cfRule>
  </conditionalFormatting>
  <conditionalFormatting sqref="F23">
    <cfRule type="expression" priority="2620" dxfId="3">
      <formula>$K23&lt;&gt;""</formula>
    </cfRule>
  </conditionalFormatting>
  <conditionalFormatting sqref="C23">
    <cfRule type="expression" priority="2619" dxfId="2">
      <formula>$G23&lt;&gt;"-"</formula>
    </cfRule>
  </conditionalFormatting>
  <conditionalFormatting sqref="D23">
    <cfRule type="expression" priority="2618" dxfId="1">
      <formula>$H23&lt;&gt;"-"</formula>
    </cfRule>
  </conditionalFormatting>
  <conditionalFormatting sqref="E23">
    <cfRule type="expression" priority="2617" dxfId="0">
      <formula>$I23&lt;&gt;"-"</formula>
    </cfRule>
  </conditionalFormatting>
  <conditionalFormatting sqref="B24">
    <cfRule type="expression" priority="2614" dxfId="11">
      <formula>AD24&lt;&gt;""</formula>
    </cfRule>
  </conditionalFormatting>
  <conditionalFormatting sqref="Z24">
    <cfRule type="cellIs" priority="2612" operator="greaterThan" dxfId="10">
      <formula>0</formula>
    </cfRule>
    <cfRule type="cellIs" priority="2613" operator="lessThan" dxfId="9">
      <formula>0</formula>
    </cfRule>
  </conditionalFormatting>
  <conditionalFormatting sqref="S24">
    <cfRule type="cellIs" priority="2611" operator="lessThan" dxfId="8">
      <formula>0</formula>
    </cfRule>
  </conditionalFormatting>
  <conditionalFormatting sqref="P24">
    <cfRule type="cellIs" priority="2609" operator="equal" dxfId="7">
      <formula>AS_DURATION_EFFORT</formula>
    </cfRule>
    <cfRule type="cellIs" priority="2610" operator="equal" dxfId="6">
      <formula>AS_DEV_EFFORT</formula>
    </cfRule>
  </conditionalFormatting>
  <conditionalFormatting sqref="F24">
    <cfRule type="expression" priority="2608" dxfId="3">
      <formula>$K24&lt;&gt;""</formula>
    </cfRule>
  </conditionalFormatting>
  <conditionalFormatting sqref="C24">
    <cfRule type="expression" priority="2607" dxfId="2">
      <formula>$G24&lt;&gt;"-"</formula>
    </cfRule>
  </conditionalFormatting>
  <conditionalFormatting sqref="D24">
    <cfRule type="expression" priority="2606" dxfId="1">
      <formula>$H24&lt;&gt;"-"</formula>
    </cfRule>
  </conditionalFormatting>
  <conditionalFormatting sqref="E24">
    <cfRule type="expression" priority="2605" dxfId="0">
      <formula>$I24&lt;&gt;"-"</formula>
    </cfRule>
  </conditionalFormatting>
  <conditionalFormatting sqref="B74">
    <cfRule type="expression" priority="2551" dxfId="11">
      <formula>AD74&lt;&gt;""</formula>
    </cfRule>
  </conditionalFormatting>
  <conditionalFormatting sqref="Z74">
    <cfRule type="cellIs" priority="2549" operator="greaterThan" dxfId="10">
      <formula>0</formula>
    </cfRule>
    <cfRule type="cellIs" priority="2550" operator="lessThan" dxfId="9">
      <formula>0</formula>
    </cfRule>
  </conditionalFormatting>
  <conditionalFormatting sqref="S74">
    <cfRule type="cellIs" priority="2548" operator="lessThan" dxfId="8">
      <formula>0</formula>
    </cfRule>
  </conditionalFormatting>
  <conditionalFormatting sqref="T72:T73">
    <cfRule type="expression" priority="2552" dxfId="4">
      <formula>#REF!="Yes"</formula>
    </cfRule>
  </conditionalFormatting>
  <conditionalFormatting sqref="P74">
    <cfRule type="cellIs" priority="2546" operator="equal" dxfId="7">
      <formula>AS_DURATION_EFFORT</formula>
    </cfRule>
    <cfRule type="cellIs" priority="2547" operator="equal" dxfId="6">
      <formula>AS_DEV_EFFORT</formula>
    </cfRule>
  </conditionalFormatting>
  <conditionalFormatting sqref="B72:B73">
    <cfRule type="expression" priority="2545" dxfId="11">
      <formula>AD72&lt;&gt;""</formula>
    </cfRule>
  </conditionalFormatting>
  <conditionalFormatting sqref="F74">
    <cfRule type="expression" priority="2544" dxfId="3">
      <formula>$K74&lt;&gt;""</formula>
    </cfRule>
  </conditionalFormatting>
  <conditionalFormatting sqref="C74">
    <cfRule type="expression" priority="2543" dxfId="2">
      <formula>$G74&lt;&gt;"-"</formula>
    </cfRule>
  </conditionalFormatting>
  <conditionalFormatting sqref="D74">
    <cfRule type="expression" priority="2542" dxfId="1">
      <formula>$H74&lt;&gt;"-"</formula>
    </cfRule>
  </conditionalFormatting>
  <conditionalFormatting sqref="E74">
    <cfRule type="expression" priority="2541" dxfId="0">
      <formula>$I74&lt;&gt;"-"</formula>
    </cfRule>
  </conditionalFormatting>
  <conditionalFormatting sqref="B78">
    <cfRule type="expression" priority="2537" dxfId="11">
      <formula>AD78&lt;&gt;""</formula>
    </cfRule>
  </conditionalFormatting>
  <conditionalFormatting sqref="Z78">
    <cfRule type="cellIs" priority="2535" operator="greaterThan" dxfId="10">
      <formula>0</formula>
    </cfRule>
    <cfRule type="cellIs" priority="2536" operator="lessThan" dxfId="9">
      <formula>0</formula>
    </cfRule>
  </conditionalFormatting>
  <conditionalFormatting sqref="S78">
    <cfRule type="cellIs" priority="2534" operator="lessThan" dxfId="8">
      <formula>0</formula>
    </cfRule>
  </conditionalFormatting>
  <conditionalFormatting sqref="T76:T77">
    <cfRule type="expression" priority="2538" dxfId="4">
      <formula>#REF!="Yes"</formula>
    </cfRule>
  </conditionalFormatting>
  <conditionalFormatting sqref="P78">
    <cfRule type="cellIs" priority="2532" operator="equal" dxfId="7">
      <formula>AS_DURATION_EFFORT</formula>
    </cfRule>
    <cfRule type="cellIs" priority="2533" operator="equal" dxfId="6">
      <formula>AS_DEV_EFFORT</formula>
    </cfRule>
  </conditionalFormatting>
  <conditionalFormatting sqref="B76:B77">
    <cfRule type="expression" priority="2531" dxfId="11">
      <formula>AD76&lt;&gt;""</formula>
    </cfRule>
  </conditionalFormatting>
  <conditionalFormatting sqref="F78">
    <cfRule type="expression" priority="2530" dxfId="3">
      <formula>$K78&lt;&gt;""</formula>
    </cfRule>
  </conditionalFormatting>
  <conditionalFormatting sqref="C78">
    <cfRule type="expression" priority="2529" dxfId="2">
      <formula>$G78&lt;&gt;"-"</formula>
    </cfRule>
  </conditionalFormatting>
  <conditionalFormatting sqref="D78">
    <cfRule type="expression" priority="2528" dxfId="1">
      <formula>$H78&lt;&gt;"-"</formula>
    </cfRule>
  </conditionalFormatting>
  <conditionalFormatting sqref="E78">
    <cfRule type="expression" priority="2527" dxfId="0">
      <formula>$I78&lt;&gt;"-"</formula>
    </cfRule>
  </conditionalFormatting>
  <conditionalFormatting sqref="B85">
    <cfRule type="expression" priority="2523" dxfId="11">
      <formula>AD85&lt;&gt;""</formula>
    </cfRule>
  </conditionalFormatting>
  <conditionalFormatting sqref="Z85">
    <cfRule type="cellIs" priority="2521" operator="greaterThan" dxfId="10">
      <formula>0</formula>
    </cfRule>
    <cfRule type="cellIs" priority="2522" operator="lessThan" dxfId="9">
      <formula>0</formula>
    </cfRule>
  </conditionalFormatting>
  <conditionalFormatting sqref="S85">
    <cfRule type="cellIs" priority="2520" operator="lessThan" dxfId="8">
      <formula>0</formula>
    </cfRule>
  </conditionalFormatting>
  <conditionalFormatting sqref="T83:T84">
    <cfRule type="expression" priority="2524" dxfId="4">
      <formula>#REF!="Yes"</formula>
    </cfRule>
  </conditionalFormatting>
  <conditionalFormatting sqref="P85">
    <cfRule type="cellIs" priority="2518" operator="equal" dxfId="7">
      <formula>AS_DURATION_EFFORT</formula>
    </cfRule>
    <cfRule type="cellIs" priority="2519" operator="equal" dxfId="6">
      <formula>AS_DEV_EFFORT</formula>
    </cfRule>
  </conditionalFormatting>
  <conditionalFormatting sqref="B83:B84">
    <cfRule type="expression" priority="2517" dxfId="11">
      <formula>AD83&lt;&gt;""</formula>
    </cfRule>
  </conditionalFormatting>
  <conditionalFormatting sqref="F85">
    <cfRule type="expression" priority="2516" dxfId="3">
      <formula>$K85&lt;&gt;""</formula>
    </cfRule>
  </conditionalFormatting>
  <conditionalFormatting sqref="C85">
    <cfRule type="expression" priority="2515" dxfId="2">
      <formula>$G85&lt;&gt;"-"</formula>
    </cfRule>
  </conditionalFormatting>
  <conditionalFormatting sqref="D85">
    <cfRule type="expression" priority="2514" dxfId="1">
      <formula>$H85&lt;&gt;"-"</formula>
    </cfRule>
  </conditionalFormatting>
  <conditionalFormatting sqref="E85">
    <cfRule type="expression" priority="2513" dxfId="0">
      <formula>$I85&lt;&gt;"-"</formula>
    </cfRule>
  </conditionalFormatting>
  <conditionalFormatting sqref="B70">
    <cfRule type="expression" priority="2482" dxfId="11">
      <formula>AD70&lt;&gt;""</formula>
    </cfRule>
  </conditionalFormatting>
  <conditionalFormatting sqref="Z70">
    <cfRule type="cellIs" priority="2480" operator="greaterThan" dxfId="10">
      <formula>0</formula>
    </cfRule>
    <cfRule type="cellIs" priority="2481" operator="lessThan" dxfId="9">
      <formula>0</formula>
    </cfRule>
  </conditionalFormatting>
  <conditionalFormatting sqref="S70">
    <cfRule type="cellIs" priority="2479" operator="lessThan" dxfId="8">
      <formula>0</formula>
    </cfRule>
  </conditionalFormatting>
  <conditionalFormatting sqref="P70">
    <cfRule type="cellIs" priority="2477" operator="equal" dxfId="7">
      <formula>AS_DURATION_EFFORT</formula>
    </cfRule>
    <cfRule type="cellIs" priority="2478" operator="equal" dxfId="6">
      <formula>AS_DEV_EFFORT</formula>
    </cfRule>
  </conditionalFormatting>
  <conditionalFormatting sqref="F70">
    <cfRule type="expression" priority="2476" dxfId="3">
      <formula>$K70&lt;&gt;""</formula>
    </cfRule>
  </conditionalFormatting>
  <conditionalFormatting sqref="C70">
    <cfRule type="expression" priority="2475" dxfId="2">
      <formula>$G70&lt;&gt;"-"</formula>
    </cfRule>
  </conditionalFormatting>
  <conditionalFormatting sqref="D70">
    <cfRule type="expression" priority="2474" dxfId="1">
      <formula>$H70&lt;&gt;"-"</formula>
    </cfRule>
  </conditionalFormatting>
  <conditionalFormatting sqref="E70">
    <cfRule type="expression" priority="2473" dxfId="0">
      <formula>$I70&lt;&gt;"-"</formula>
    </cfRule>
  </conditionalFormatting>
  <conditionalFormatting sqref="B79">
    <cfRule type="expression" priority="2470" dxfId="11">
      <formula>AD79&lt;&gt;""</formula>
    </cfRule>
  </conditionalFormatting>
  <conditionalFormatting sqref="Z79">
    <cfRule type="cellIs" priority="2468" operator="greaterThan" dxfId="10">
      <formula>0</formula>
    </cfRule>
    <cfRule type="cellIs" priority="2469" operator="lessThan" dxfId="9">
      <formula>0</formula>
    </cfRule>
  </conditionalFormatting>
  <conditionalFormatting sqref="S79">
    <cfRule type="cellIs" priority="2467" operator="lessThan" dxfId="8">
      <formula>0</formula>
    </cfRule>
  </conditionalFormatting>
  <conditionalFormatting sqref="P79">
    <cfRule type="cellIs" priority="2465" operator="equal" dxfId="7">
      <formula>AS_DURATION_EFFORT</formula>
    </cfRule>
    <cfRule type="cellIs" priority="2466" operator="equal" dxfId="6">
      <formula>AS_DEV_EFFORT</formula>
    </cfRule>
  </conditionalFormatting>
  <conditionalFormatting sqref="F79">
    <cfRule type="expression" priority="2464" dxfId="3">
      <formula>$K79&lt;&gt;""</formula>
    </cfRule>
  </conditionalFormatting>
  <conditionalFormatting sqref="C79">
    <cfRule type="expression" priority="2463" dxfId="2">
      <formula>$G79&lt;&gt;"-"</formula>
    </cfRule>
  </conditionalFormatting>
  <conditionalFormatting sqref="D79">
    <cfRule type="expression" priority="2462" dxfId="1">
      <formula>$H79&lt;&gt;"-"</formula>
    </cfRule>
  </conditionalFormatting>
  <conditionalFormatting sqref="E79">
    <cfRule type="expression" priority="2461" dxfId="0">
      <formula>$I79&lt;&gt;"-"</formula>
    </cfRule>
  </conditionalFormatting>
  <conditionalFormatting sqref="B80">
    <cfRule type="expression" priority="2458" dxfId="11">
      <formula>AD80&lt;&gt;""</formula>
    </cfRule>
  </conditionalFormatting>
  <conditionalFormatting sqref="Z80">
    <cfRule type="cellIs" priority="2456" operator="greaterThan" dxfId="10">
      <formula>0</formula>
    </cfRule>
    <cfRule type="cellIs" priority="2457" operator="lessThan" dxfId="9">
      <formula>0</formula>
    </cfRule>
  </conditionalFormatting>
  <conditionalFormatting sqref="S80">
    <cfRule type="cellIs" priority="2455" operator="lessThan" dxfId="8">
      <formula>0</formula>
    </cfRule>
  </conditionalFormatting>
  <conditionalFormatting sqref="P80">
    <cfRule type="cellIs" priority="2453" operator="equal" dxfId="7">
      <formula>AS_DURATION_EFFORT</formula>
    </cfRule>
    <cfRule type="cellIs" priority="2454" operator="equal" dxfId="6">
      <formula>AS_DEV_EFFORT</formula>
    </cfRule>
  </conditionalFormatting>
  <conditionalFormatting sqref="F80">
    <cfRule type="expression" priority="2452" dxfId="3">
      <formula>$K80&lt;&gt;""</formula>
    </cfRule>
  </conditionalFormatting>
  <conditionalFormatting sqref="C80">
    <cfRule type="expression" priority="2451" dxfId="2">
      <formula>$G80&lt;&gt;"-"</formula>
    </cfRule>
  </conditionalFormatting>
  <conditionalFormatting sqref="D80">
    <cfRule type="expression" priority="2450" dxfId="1">
      <formula>$H80&lt;&gt;"-"</formula>
    </cfRule>
  </conditionalFormatting>
  <conditionalFormatting sqref="E80">
    <cfRule type="expression" priority="2449" dxfId="0">
      <formula>$I80&lt;&gt;"-"</formula>
    </cfRule>
  </conditionalFormatting>
  <conditionalFormatting sqref="B81">
    <cfRule type="expression" priority="2446" dxfId="11">
      <formula>AD81&lt;&gt;""</formula>
    </cfRule>
  </conditionalFormatting>
  <conditionalFormatting sqref="Z81">
    <cfRule type="cellIs" priority="2444" operator="greaterThan" dxfId="10">
      <formula>0</formula>
    </cfRule>
    <cfRule type="cellIs" priority="2445" operator="lessThan" dxfId="9">
      <formula>0</formula>
    </cfRule>
  </conditionalFormatting>
  <conditionalFormatting sqref="S81">
    <cfRule type="cellIs" priority="2443" operator="lessThan" dxfId="8">
      <formula>0</formula>
    </cfRule>
  </conditionalFormatting>
  <conditionalFormatting sqref="P81">
    <cfRule type="cellIs" priority="2441" operator="equal" dxfId="7">
      <formula>AS_DURATION_EFFORT</formula>
    </cfRule>
    <cfRule type="cellIs" priority="2442" operator="equal" dxfId="6">
      <formula>AS_DEV_EFFORT</formula>
    </cfRule>
  </conditionalFormatting>
  <conditionalFormatting sqref="F81">
    <cfRule type="expression" priority="2440" dxfId="3">
      <formula>$K81&lt;&gt;""</formula>
    </cfRule>
  </conditionalFormatting>
  <conditionalFormatting sqref="C81">
    <cfRule type="expression" priority="2439" dxfId="2">
      <formula>$G81&lt;&gt;"-"</formula>
    </cfRule>
  </conditionalFormatting>
  <conditionalFormatting sqref="D81">
    <cfRule type="expression" priority="2438" dxfId="1">
      <formula>$H81&lt;&gt;"-"</formula>
    </cfRule>
  </conditionalFormatting>
  <conditionalFormatting sqref="E81">
    <cfRule type="expression" priority="2437" dxfId="0">
      <formula>$I81&lt;&gt;"-"</formula>
    </cfRule>
  </conditionalFormatting>
  <conditionalFormatting sqref="B92">
    <cfRule type="expression" priority="2398" dxfId="11">
      <formula>AD92&lt;&gt;""</formula>
    </cfRule>
  </conditionalFormatting>
  <conditionalFormatting sqref="Z92">
    <cfRule type="cellIs" priority="2396" operator="greaterThan" dxfId="10">
      <formula>0</formula>
    </cfRule>
    <cfRule type="cellIs" priority="2397" operator="lessThan" dxfId="9">
      <formula>0</formula>
    </cfRule>
  </conditionalFormatting>
  <conditionalFormatting sqref="S92">
    <cfRule type="cellIs" priority="2395" operator="lessThan" dxfId="8">
      <formula>0</formula>
    </cfRule>
  </conditionalFormatting>
  <conditionalFormatting sqref="P92">
    <cfRule type="cellIs" priority="2393" operator="equal" dxfId="7">
      <formula>AS_DURATION_EFFORT</formula>
    </cfRule>
    <cfRule type="cellIs" priority="2394" operator="equal" dxfId="6">
      <formula>AS_DEV_EFFORT</formula>
    </cfRule>
  </conditionalFormatting>
  <conditionalFormatting sqref="F92">
    <cfRule type="expression" priority="2392" dxfId="3">
      <formula>$K92&lt;&gt;""</formula>
    </cfRule>
  </conditionalFormatting>
  <conditionalFormatting sqref="C92">
    <cfRule type="expression" priority="2391" dxfId="2">
      <formula>$G92&lt;&gt;"-"</formula>
    </cfRule>
  </conditionalFormatting>
  <conditionalFormatting sqref="D92">
    <cfRule type="expression" priority="2390" dxfId="1">
      <formula>$H92&lt;&gt;"-"</formula>
    </cfRule>
  </conditionalFormatting>
  <conditionalFormatting sqref="E92">
    <cfRule type="expression" priority="2389" dxfId="0">
      <formula>$I92&lt;&gt;"-"</formula>
    </cfRule>
  </conditionalFormatting>
  <conditionalFormatting sqref="B91">
    <cfRule type="expression" priority="2386" dxfId="11">
      <formula>AD91&lt;&gt;""</formula>
    </cfRule>
  </conditionalFormatting>
  <conditionalFormatting sqref="Z91">
    <cfRule type="cellIs" priority="2384" operator="greaterThan" dxfId="10">
      <formula>0</formula>
    </cfRule>
    <cfRule type="cellIs" priority="2385" operator="lessThan" dxfId="9">
      <formula>0</formula>
    </cfRule>
  </conditionalFormatting>
  <conditionalFormatting sqref="S91">
    <cfRule type="cellIs" priority="2383" operator="lessThan" dxfId="8">
      <formula>0</formula>
    </cfRule>
  </conditionalFormatting>
  <conditionalFormatting sqref="P91">
    <cfRule type="cellIs" priority="2381" operator="equal" dxfId="7">
      <formula>AS_DURATION_EFFORT</formula>
    </cfRule>
    <cfRule type="cellIs" priority="2382" operator="equal" dxfId="6">
      <formula>AS_DEV_EFFORT</formula>
    </cfRule>
  </conditionalFormatting>
  <conditionalFormatting sqref="F91">
    <cfRule type="expression" priority="2380" dxfId="3">
      <formula>$K91&lt;&gt;""</formula>
    </cfRule>
  </conditionalFormatting>
  <conditionalFormatting sqref="C91">
    <cfRule type="expression" priority="2379" dxfId="2">
      <formula>$G91&lt;&gt;"-"</formula>
    </cfRule>
  </conditionalFormatting>
  <conditionalFormatting sqref="D91">
    <cfRule type="expression" priority="2378" dxfId="1">
      <formula>$H91&lt;&gt;"-"</formula>
    </cfRule>
  </conditionalFormatting>
  <conditionalFormatting sqref="E91">
    <cfRule type="expression" priority="2377" dxfId="0">
      <formula>$I91&lt;&gt;"-"</formula>
    </cfRule>
  </conditionalFormatting>
  <conditionalFormatting sqref="B90">
    <cfRule type="expression" priority="2374" dxfId="11">
      <formula>AD90&lt;&gt;""</formula>
    </cfRule>
  </conditionalFormatting>
  <conditionalFormatting sqref="Z90">
    <cfRule type="cellIs" priority="2372" operator="greaterThan" dxfId="10">
      <formula>0</formula>
    </cfRule>
    <cfRule type="cellIs" priority="2373" operator="lessThan" dxfId="9">
      <formula>0</formula>
    </cfRule>
  </conditionalFormatting>
  <conditionalFormatting sqref="S90">
    <cfRule type="cellIs" priority="2371" operator="lessThan" dxfId="8">
      <formula>0</formula>
    </cfRule>
  </conditionalFormatting>
  <conditionalFormatting sqref="P90">
    <cfRule type="cellIs" priority="2369" operator="equal" dxfId="7">
      <formula>AS_DURATION_EFFORT</formula>
    </cfRule>
    <cfRule type="cellIs" priority="2370" operator="equal" dxfId="6">
      <formula>AS_DEV_EFFORT</formula>
    </cfRule>
  </conditionalFormatting>
  <conditionalFormatting sqref="F90">
    <cfRule type="expression" priority="2368" dxfId="3">
      <formula>$K90&lt;&gt;""</formula>
    </cfRule>
  </conditionalFormatting>
  <conditionalFormatting sqref="C90">
    <cfRule type="expression" priority="2367" dxfId="2">
      <formula>$G90&lt;&gt;"-"</formula>
    </cfRule>
  </conditionalFormatting>
  <conditionalFormatting sqref="D90">
    <cfRule type="expression" priority="2366" dxfId="1">
      <formula>$H90&lt;&gt;"-"</formula>
    </cfRule>
  </conditionalFormatting>
  <conditionalFormatting sqref="E90">
    <cfRule type="expression" priority="2365" dxfId="0">
      <formula>$I90&lt;&gt;"-"</formula>
    </cfRule>
  </conditionalFormatting>
  <conditionalFormatting sqref="B89">
    <cfRule type="expression" priority="2362" dxfId="11">
      <formula>AD89&lt;&gt;""</formula>
    </cfRule>
  </conditionalFormatting>
  <conditionalFormatting sqref="Z89">
    <cfRule type="cellIs" priority="2360" operator="greaterThan" dxfId="10">
      <formula>0</formula>
    </cfRule>
    <cfRule type="cellIs" priority="2361" operator="lessThan" dxfId="9">
      <formula>0</formula>
    </cfRule>
  </conditionalFormatting>
  <conditionalFormatting sqref="S89">
    <cfRule type="cellIs" priority="2359" operator="lessThan" dxfId="8">
      <formula>0</formula>
    </cfRule>
  </conditionalFormatting>
  <conditionalFormatting sqref="P89">
    <cfRule type="cellIs" priority="2357" operator="equal" dxfId="7">
      <formula>AS_DURATION_EFFORT</formula>
    </cfRule>
    <cfRule type="cellIs" priority="2358" operator="equal" dxfId="6">
      <formula>AS_DEV_EFFORT</formula>
    </cfRule>
  </conditionalFormatting>
  <conditionalFormatting sqref="F89">
    <cfRule type="expression" priority="2356" dxfId="3">
      <formula>$K89&lt;&gt;""</formula>
    </cfRule>
  </conditionalFormatting>
  <conditionalFormatting sqref="C89">
    <cfRule type="expression" priority="2355" dxfId="2">
      <formula>$G89&lt;&gt;"-"</formula>
    </cfRule>
  </conditionalFormatting>
  <conditionalFormatting sqref="D89">
    <cfRule type="expression" priority="2354" dxfId="1">
      <formula>$H89&lt;&gt;"-"</formula>
    </cfRule>
  </conditionalFormatting>
  <conditionalFormatting sqref="E89">
    <cfRule type="expression" priority="2353" dxfId="0">
      <formula>$I89&lt;&gt;"-"</formula>
    </cfRule>
  </conditionalFormatting>
  <conditionalFormatting sqref="B88">
    <cfRule type="expression" priority="2350" dxfId="11">
      <formula>AD88&lt;&gt;""</formula>
    </cfRule>
  </conditionalFormatting>
  <conditionalFormatting sqref="Z88">
    <cfRule type="cellIs" priority="2348" operator="greaterThan" dxfId="10">
      <formula>0</formula>
    </cfRule>
    <cfRule type="cellIs" priority="2349" operator="lessThan" dxfId="9">
      <formula>0</formula>
    </cfRule>
  </conditionalFormatting>
  <conditionalFormatting sqref="S88">
    <cfRule type="cellIs" priority="2347" operator="lessThan" dxfId="8">
      <formula>0</formula>
    </cfRule>
  </conditionalFormatting>
  <conditionalFormatting sqref="P88">
    <cfRule type="cellIs" priority="2345" operator="equal" dxfId="7">
      <formula>AS_DURATION_EFFORT</formula>
    </cfRule>
    <cfRule type="cellIs" priority="2346" operator="equal" dxfId="6">
      <formula>AS_DEV_EFFORT</formula>
    </cfRule>
  </conditionalFormatting>
  <conditionalFormatting sqref="F88">
    <cfRule type="expression" priority="2344" dxfId="3">
      <formula>$K88&lt;&gt;""</formula>
    </cfRule>
  </conditionalFormatting>
  <conditionalFormatting sqref="C88">
    <cfRule type="expression" priority="2343" dxfId="2">
      <formula>$G88&lt;&gt;"-"</formula>
    </cfRule>
  </conditionalFormatting>
  <conditionalFormatting sqref="D88">
    <cfRule type="expression" priority="2342" dxfId="1">
      <formula>$H88&lt;&gt;"-"</formula>
    </cfRule>
  </conditionalFormatting>
  <conditionalFormatting sqref="E88">
    <cfRule type="expression" priority="2341" dxfId="0">
      <formula>$I88&lt;&gt;"-"</formula>
    </cfRule>
  </conditionalFormatting>
  <conditionalFormatting sqref="B87">
    <cfRule type="expression" priority="2338" dxfId="11">
      <formula>AD87&lt;&gt;""</formula>
    </cfRule>
  </conditionalFormatting>
  <conditionalFormatting sqref="Z87">
    <cfRule type="cellIs" priority="2336" operator="greaterThan" dxfId="10">
      <formula>0</formula>
    </cfRule>
    <cfRule type="cellIs" priority="2337" operator="lessThan" dxfId="9">
      <formula>0</formula>
    </cfRule>
  </conditionalFormatting>
  <conditionalFormatting sqref="S87">
    <cfRule type="cellIs" priority="2335" operator="lessThan" dxfId="8">
      <formula>0</formula>
    </cfRule>
  </conditionalFormatting>
  <conditionalFormatting sqref="P87">
    <cfRule type="cellIs" priority="2333" operator="equal" dxfId="7">
      <formula>AS_DURATION_EFFORT</formula>
    </cfRule>
    <cfRule type="cellIs" priority="2334" operator="equal" dxfId="6">
      <formula>AS_DEV_EFFORT</formula>
    </cfRule>
  </conditionalFormatting>
  <conditionalFormatting sqref="F87">
    <cfRule type="expression" priority="2332" dxfId="3">
      <formula>$K87&lt;&gt;""</formula>
    </cfRule>
  </conditionalFormatting>
  <conditionalFormatting sqref="C87">
    <cfRule type="expression" priority="2331" dxfId="2">
      <formula>$G87&lt;&gt;"-"</formula>
    </cfRule>
  </conditionalFormatting>
  <conditionalFormatting sqref="D87">
    <cfRule type="expression" priority="2330" dxfId="1">
      <formula>$H87&lt;&gt;"-"</formula>
    </cfRule>
  </conditionalFormatting>
  <conditionalFormatting sqref="E87">
    <cfRule type="expression" priority="2329" dxfId="0">
      <formula>$I87&lt;&gt;"-"</formula>
    </cfRule>
  </conditionalFormatting>
  <conditionalFormatting sqref="B86">
    <cfRule type="expression" priority="2326" dxfId="11">
      <formula>AD86&lt;&gt;""</formula>
    </cfRule>
  </conditionalFormatting>
  <conditionalFormatting sqref="Z86">
    <cfRule type="cellIs" priority="2324" operator="greaterThan" dxfId="10">
      <formula>0</formula>
    </cfRule>
    <cfRule type="cellIs" priority="2325" operator="lessThan" dxfId="9">
      <formula>0</formula>
    </cfRule>
  </conditionalFormatting>
  <conditionalFormatting sqref="S86">
    <cfRule type="cellIs" priority="2323" operator="lessThan" dxfId="8">
      <formula>0</formula>
    </cfRule>
  </conditionalFormatting>
  <conditionalFormatting sqref="P86">
    <cfRule type="cellIs" priority="2321" operator="equal" dxfId="7">
      <formula>AS_DURATION_EFFORT</formula>
    </cfRule>
    <cfRule type="cellIs" priority="2322" operator="equal" dxfId="6">
      <formula>AS_DEV_EFFORT</formula>
    </cfRule>
  </conditionalFormatting>
  <conditionalFormatting sqref="F86">
    <cfRule type="expression" priority="2320" dxfId="3">
      <formula>$K86&lt;&gt;""</formula>
    </cfRule>
  </conditionalFormatting>
  <conditionalFormatting sqref="C86">
    <cfRule type="expression" priority="2319" dxfId="2">
      <formula>$G86&lt;&gt;"-"</formula>
    </cfRule>
  </conditionalFormatting>
  <conditionalFormatting sqref="D86">
    <cfRule type="expression" priority="2318" dxfId="1">
      <formula>$H86&lt;&gt;"-"</formula>
    </cfRule>
  </conditionalFormatting>
  <conditionalFormatting sqref="E86">
    <cfRule type="expression" priority="2317" dxfId="0">
      <formula>$I86&lt;&gt;"-"</formula>
    </cfRule>
  </conditionalFormatting>
  <conditionalFormatting sqref="B102">
    <cfRule type="expression" priority="2278" dxfId="11">
      <formula>AD102&lt;&gt;""</formula>
    </cfRule>
  </conditionalFormatting>
  <conditionalFormatting sqref="Z102">
    <cfRule type="cellIs" priority="2276" operator="greaterThan" dxfId="10">
      <formula>0</formula>
    </cfRule>
    <cfRule type="cellIs" priority="2277" operator="lessThan" dxfId="9">
      <formula>0</formula>
    </cfRule>
  </conditionalFormatting>
  <conditionalFormatting sqref="S102">
    <cfRule type="cellIs" priority="2275" operator="lessThan" dxfId="8">
      <formula>0</formula>
    </cfRule>
  </conditionalFormatting>
  <conditionalFormatting sqref="P102">
    <cfRule type="cellIs" priority="2273" operator="equal" dxfId="7">
      <formula>AS_DURATION_EFFORT</formula>
    </cfRule>
    <cfRule type="cellIs" priority="2274" operator="equal" dxfId="6">
      <formula>AS_DEV_EFFORT</formula>
    </cfRule>
  </conditionalFormatting>
  <conditionalFormatting sqref="F102">
    <cfRule type="expression" priority="2272" dxfId="3">
      <formula>$K102&lt;&gt;""</formula>
    </cfRule>
  </conditionalFormatting>
  <conditionalFormatting sqref="C102">
    <cfRule type="expression" priority="2271" dxfId="2">
      <formula>$G102&lt;&gt;"-"</formula>
    </cfRule>
  </conditionalFormatting>
  <conditionalFormatting sqref="D102">
    <cfRule type="expression" priority="2270" dxfId="1">
      <formula>$H102&lt;&gt;"-"</formula>
    </cfRule>
  </conditionalFormatting>
  <conditionalFormatting sqref="E102">
    <cfRule type="expression" priority="2269" dxfId="0">
      <formula>$I102&lt;&gt;"-"</formula>
    </cfRule>
  </conditionalFormatting>
  <conditionalFormatting sqref="B101">
    <cfRule type="expression" priority="2266" dxfId="11">
      <formula>AD101&lt;&gt;""</formula>
    </cfRule>
  </conditionalFormatting>
  <conditionalFormatting sqref="Z101">
    <cfRule type="cellIs" priority="2264" operator="greaterThan" dxfId="10">
      <formula>0</formula>
    </cfRule>
    <cfRule type="cellIs" priority="2265" operator="lessThan" dxfId="9">
      <formula>0</formula>
    </cfRule>
  </conditionalFormatting>
  <conditionalFormatting sqref="S101">
    <cfRule type="cellIs" priority="2263" operator="lessThan" dxfId="8">
      <formula>0</formula>
    </cfRule>
  </conditionalFormatting>
  <conditionalFormatting sqref="P101">
    <cfRule type="cellIs" priority="2261" operator="equal" dxfId="7">
      <formula>AS_DURATION_EFFORT</formula>
    </cfRule>
    <cfRule type="cellIs" priority="2262" operator="equal" dxfId="6">
      <formula>AS_DEV_EFFORT</formula>
    </cfRule>
  </conditionalFormatting>
  <conditionalFormatting sqref="F101">
    <cfRule type="expression" priority="2260" dxfId="3">
      <formula>$K101&lt;&gt;""</formula>
    </cfRule>
  </conditionalFormatting>
  <conditionalFormatting sqref="C101">
    <cfRule type="expression" priority="2259" dxfId="2">
      <formula>$G101&lt;&gt;"-"</formula>
    </cfRule>
  </conditionalFormatting>
  <conditionalFormatting sqref="D101">
    <cfRule type="expression" priority="2258" dxfId="1">
      <formula>$H101&lt;&gt;"-"</formula>
    </cfRule>
  </conditionalFormatting>
  <conditionalFormatting sqref="E101">
    <cfRule type="expression" priority="2257" dxfId="0">
      <formula>$I101&lt;&gt;"-"</formula>
    </cfRule>
  </conditionalFormatting>
  <conditionalFormatting sqref="B100">
    <cfRule type="expression" priority="2254" dxfId="11">
      <formula>AD100&lt;&gt;""</formula>
    </cfRule>
  </conditionalFormatting>
  <conditionalFormatting sqref="Z100">
    <cfRule type="cellIs" priority="2252" operator="greaterThan" dxfId="10">
      <formula>0</formula>
    </cfRule>
    <cfRule type="cellIs" priority="2253" operator="lessThan" dxfId="9">
      <formula>0</formula>
    </cfRule>
  </conditionalFormatting>
  <conditionalFormatting sqref="S100">
    <cfRule type="cellIs" priority="2251" operator="lessThan" dxfId="8">
      <formula>0</formula>
    </cfRule>
  </conditionalFormatting>
  <conditionalFormatting sqref="P100">
    <cfRule type="cellIs" priority="2249" operator="equal" dxfId="7">
      <formula>AS_DURATION_EFFORT</formula>
    </cfRule>
    <cfRule type="cellIs" priority="2250" operator="equal" dxfId="6">
      <formula>AS_DEV_EFFORT</formula>
    </cfRule>
  </conditionalFormatting>
  <conditionalFormatting sqref="F100">
    <cfRule type="expression" priority="2248" dxfId="3">
      <formula>$K100&lt;&gt;""</formula>
    </cfRule>
  </conditionalFormatting>
  <conditionalFormatting sqref="C100">
    <cfRule type="expression" priority="2247" dxfId="2">
      <formula>$G100&lt;&gt;"-"</formula>
    </cfRule>
  </conditionalFormatting>
  <conditionalFormatting sqref="D100">
    <cfRule type="expression" priority="2246" dxfId="1">
      <formula>$H100&lt;&gt;"-"</formula>
    </cfRule>
  </conditionalFormatting>
  <conditionalFormatting sqref="E100">
    <cfRule type="expression" priority="2245" dxfId="0">
      <formula>$I100&lt;&gt;"-"</formula>
    </cfRule>
  </conditionalFormatting>
  <conditionalFormatting sqref="B110">
    <cfRule type="expression" priority="2242" dxfId="11">
      <formula>AD110&lt;&gt;""</formula>
    </cfRule>
  </conditionalFormatting>
  <conditionalFormatting sqref="Z110">
    <cfRule type="cellIs" priority="2240" operator="greaterThan" dxfId="10">
      <formula>0</formula>
    </cfRule>
    <cfRule type="cellIs" priority="2241" operator="lessThan" dxfId="9">
      <formula>0</formula>
    </cfRule>
  </conditionalFormatting>
  <conditionalFormatting sqref="S110">
    <cfRule type="cellIs" priority="2239" operator="lessThan" dxfId="8">
      <formula>0</formula>
    </cfRule>
  </conditionalFormatting>
  <conditionalFormatting sqref="P110">
    <cfRule type="cellIs" priority="2237" operator="equal" dxfId="7">
      <formula>AS_DURATION_EFFORT</formula>
    </cfRule>
    <cfRule type="cellIs" priority="2238" operator="equal" dxfId="6">
      <formula>AS_DEV_EFFORT</formula>
    </cfRule>
  </conditionalFormatting>
  <conditionalFormatting sqref="F110">
    <cfRule type="expression" priority="2236" dxfId="3">
      <formula>$K110&lt;&gt;""</formula>
    </cfRule>
  </conditionalFormatting>
  <conditionalFormatting sqref="C110">
    <cfRule type="expression" priority="2235" dxfId="2">
      <formula>$G110&lt;&gt;"-"</formula>
    </cfRule>
  </conditionalFormatting>
  <conditionalFormatting sqref="D110">
    <cfRule type="expression" priority="2234" dxfId="1">
      <formula>$H110&lt;&gt;"-"</formula>
    </cfRule>
  </conditionalFormatting>
  <conditionalFormatting sqref="E110">
    <cfRule type="expression" priority="2233" dxfId="0">
      <formula>$I110&lt;&gt;"-"</formula>
    </cfRule>
  </conditionalFormatting>
  <conditionalFormatting sqref="B109">
    <cfRule type="expression" priority="2230" dxfId="11">
      <formula>AD109&lt;&gt;""</formula>
    </cfRule>
  </conditionalFormatting>
  <conditionalFormatting sqref="Z109">
    <cfRule type="cellIs" priority="2228" operator="greaterThan" dxfId="10">
      <formula>0</formula>
    </cfRule>
    <cfRule type="cellIs" priority="2229" operator="lessThan" dxfId="9">
      <formula>0</formula>
    </cfRule>
  </conditionalFormatting>
  <conditionalFormatting sqref="S109">
    <cfRule type="cellIs" priority="2227" operator="lessThan" dxfId="8">
      <formula>0</formula>
    </cfRule>
  </conditionalFormatting>
  <conditionalFormatting sqref="P109">
    <cfRule type="cellIs" priority="2225" operator="equal" dxfId="7">
      <formula>AS_DURATION_EFFORT</formula>
    </cfRule>
    <cfRule type="cellIs" priority="2226" operator="equal" dxfId="6">
      <formula>AS_DEV_EFFORT</formula>
    </cfRule>
  </conditionalFormatting>
  <conditionalFormatting sqref="F109">
    <cfRule type="expression" priority="2224" dxfId="3">
      <formula>$K109&lt;&gt;""</formula>
    </cfRule>
  </conditionalFormatting>
  <conditionalFormatting sqref="C109">
    <cfRule type="expression" priority="2223" dxfId="2">
      <formula>$G109&lt;&gt;"-"</formula>
    </cfRule>
  </conditionalFormatting>
  <conditionalFormatting sqref="D109">
    <cfRule type="expression" priority="2222" dxfId="1">
      <formula>$H109&lt;&gt;"-"</formula>
    </cfRule>
  </conditionalFormatting>
  <conditionalFormatting sqref="E109">
    <cfRule type="expression" priority="2221" dxfId="0">
      <formula>$I109&lt;&gt;"-"</formula>
    </cfRule>
  </conditionalFormatting>
  <conditionalFormatting sqref="B108">
    <cfRule type="expression" priority="2218" dxfId="11">
      <formula>AD108&lt;&gt;""</formula>
    </cfRule>
  </conditionalFormatting>
  <conditionalFormatting sqref="Z108">
    <cfRule type="cellIs" priority="2216" operator="greaterThan" dxfId="10">
      <formula>0</formula>
    </cfRule>
    <cfRule type="cellIs" priority="2217" operator="lessThan" dxfId="9">
      <formula>0</formula>
    </cfRule>
  </conditionalFormatting>
  <conditionalFormatting sqref="S108">
    <cfRule type="cellIs" priority="2215" operator="lessThan" dxfId="8">
      <formula>0</formula>
    </cfRule>
  </conditionalFormatting>
  <conditionalFormatting sqref="P108">
    <cfRule type="cellIs" priority="2213" operator="equal" dxfId="7">
      <formula>AS_DURATION_EFFORT</formula>
    </cfRule>
    <cfRule type="cellIs" priority="2214" operator="equal" dxfId="6">
      <formula>AS_DEV_EFFORT</formula>
    </cfRule>
  </conditionalFormatting>
  <conditionalFormatting sqref="F108">
    <cfRule type="expression" priority="2212" dxfId="3">
      <formula>$K108&lt;&gt;""</formula>
    </cfRule>
  </conditionalFormatting>
  <conditionalFormatting sqref="C108">
    <cfRule type="expression" priority="2211" dxfId="2">
      <formula>$G108&lt;&gt;"-"</formula>
    </cfRule>
  </conditionalFormatting>
  <conditionalFormatting sqref="D108">
    <cfRule type="expression" priority="2210" dxfId="1">
      <formula>$H108&lt;&gt;"-"</formula>
    </cfRule>
  </conditionalFormatting>
  <conditionalFormatting sqref="E108">
    <cfRule type="expression" priority="2209" dxfId="0">
      <formula>$I108&lt;&gt;"-"</formula>
    </cfRule>
  </conditionalFormatting>
  <conditionalFormatting sqref="B107">
    <cfRule type="expression" priority="2206" dxfId="11">
      <formula>AD107&lt;&gt;""</formula>
    </cfRule>
  </conditionalFormatting>
  <conditionalFormatting sqref="Z107">
    <cfRule type="cellIs" priority="2204" operator="greaterThan" dxfId="10">
      <formula>0</formula>
    </cfRule>
    <cfRule type="cellIs" priority="2205" operator="lessThan" dxfId="9">
      <formula>0</formula>
    </cfRule>
  </conditionalFormatting>
  <conditionalFormatting sqref="S107">
    <cfRule type="cellIs" priority="2203" operator="lessThan" dxfId="8">
      <formula>0</formula>
    </cfRule>
  </conditionalFormatting>
  <conditionalFormatting sqref="P107">
    <cfRule type="cellIs" priority="2201" operator="equal" dxfId="7">
      <formula>AS_DURATION_EFFORT</formula>
    </cfRule>
    <cfRule type="cellIs" priority="2202" operator="equal" dxfId="6">
      <formula>AS_DEV_EFFORT</formula>
    </cfRule>
  </conditionalFormatting>
  <conditionalFormatting sqref="F107">
    <cfRule type="expression" priority="2200" dxfId="3">
      <formula>$K107&lt;&gt;""</formula>
    </cfRule>
  </conditionalFormatting>
  <conditionalFormatting sqref="C107">
    <cfRule type="expression" priority="2199" dxfId="2">
      <formula>$G107&lt;&gt;"-"</formula>
    </cfRule>
  </conditionalFormatting>
  <conditionalFormatting sqref="D107">
    <cfRule type="expression" priority="2198" dxfId="1">
      <formula>$H107&lt;&gt;"-"</formula>
    </cfRule>
  </conditionalFormatting>
  <conditionalFormatting sqref="E107">
    <cfRule type="expression" priority="2197" dxfId="0">
      <formula>$I107&lt;&gt;"-"</formula>
    </cfRule>
  </conditionalFormatting>
  <conditionalFormatting sqref="B116">
    <cfRule type="expression" priority="2194" dxfId="11">
      <formula>AD116&lt;&gt;""</formula>
    </cfRule>
  </conditionalFormatting>
  <conditionalFormatting sqref="Z116">
    <cfRule type="cellIs" priority="2192" operator="greaterThan" dxfId="10">
      <formula>0</formula>
    </cfRule>
    <cfRule type="cellIs" priority="2193" operator="lessThan" dxfId="9">
      <formula>0</formula>
    </cfRule>
  </conditionalFormatting>
  <conditionalFormatting sqref="S116">
    <cfRule type="cellIs" priority="2191" operator="lessThan" dxfId="8">
      <formula>0</formula>
    </cfRule>
  </conditionalFormatting>
  <conditionalFormatting sqref="P116">
    <cfRule type="cellIs" priority="2189" operator="equal" dxfId="7">
      <formula>AS_DURATION_EFFORT</formula>
    </cfRule>
    <cfRule type="cellIs" priority="2190" operator="equal" dxfId="6">
      <formula>AS_DEV_EFFORT</formula>
    </cfRule>
  </conditionalFormatting>
  <conditionalFormatting sqref="F116">
    <cfRule type="expression" priority="2188" dxfId="3">
      <formula>$K116&lt;&gt;""</formula>
    </cfRule>
  </conditionalFormatting>
  <conditionalFormatting sqref="C116">
    <cfRule type="expression" priority="2187" dxfId="2">
      <formula>$G116&lt;&gt;"-"</formula>
    </cfRule>
  </conditionalFormatting>
  <conditionalFormatting sqref="D116">
    <cfRule type="expression" priority="2186" dxfId="1">
      <formula>$H116&lt;&gt;"-"</formula>
    </cfRule>
  </conditionalFormatting>
  <conditionalFormatting sqref="E116">
    <cfRule type="expression" priority="2185" dxfId="0">
      <formula>$I116&lt;&gt;"-"</formula>
    </cfRule>
  </conditionalFormatting>
  <conditionalFormatting sqref="S118">
    <cfRule type="expression" priority="2184" dxfId="4">
      <formula>#REF!="Yes"</formula>
    </cfRule>
  </conditionalFormatting>
  <conditionalFormatting sqref="B118">
    <cfRule type="expression" priority="2183" dxfId="11">
      <formula>AD118&lt;&gt;""</formula>
    </cfRule>
  </conditionalFormatting>
  <conditionalFormatting sqref="B126">
    <cfRule type="expression" priority="2179" dxfId="11">
      <formula>AD126&lt;&gt;""</formula>
    </cfRule>
  </conditionalFormatting>
  <conditionalFormatting sqref="Z126">
    <cfRule type="cellIs" priority="2177" operator="greaterThan" dxfId="10">
      <formula>0</formula>
    </cfRule>
    <cfRule type="cellIs" priority="2178" operator="lessThan" dxfId="9">
      <formula>0</formula>
    </cfRule>
  </conditionalFormatting>
  <conditionalFormatting sqref="S126">
    <cfRule type="cellIs" priority="2176" operator="lessThan" dxfId="8">
      <formula>0</formula>
    </cfRule>
  </conditionalFormatting>
  <conditionalFormatting sqref="T124:T125">
    <cfRule type="expression" priority="2180" dxfId="4">
      <formula>#REF!="Yes"</formula>
    </cfRule>
  </conditionalFormatting>
  <conditionalFormatting sqref="P126">
    <cfRule type="cellIs" priority="2174" operator="equal" dxfId="7">
      <formula>AS_DURATION_EFFORT</formula>
    </cfRule>
    <cfRule type="cellIs" priority="2175" operator="equal" dxfId="6">
      <formula>AS_DEV_EFFORT</formula>
    </cfRule>
  </conditionalFormatting>
  <conditionalFormatting sqref="B124:B125">
    <cfRule type="expression" priority="2173" dxfId="11">
      <formula>AD124&lt;&gt;""</formula>
    </cfRule>
  </conditionalFormatting>
  <conditionalFormatting sqref="F126">
    <cfRule type="expression" priority="2172" dxfId="3">
      <formula>$K126&lt;&gt;""</formula>
    </cfRule>
  </conditionalFormatting>
  <conditionalFormatting sqref="C126">
    <cfRule type="expression" priority="2171" dxfId="2">
      <formula>$G126&lt;&gt;"-"</formula>
    </cfRule>
  </conditionalFormatting>
  <conditionalFormatting sqref="D126">
    <cfRule type="expression" priority="2170" dxfId="1">
      <formula>$H126&lt;&gt;"-"</formula>
    </cfRule>
  </conditionalFormatting>
  <conditionalFormatting sqref="E126">
    <cfRule type="expression" priority="2169" dxfId="0">
      <formula>$I126&lt;&gt;"-"</formula>
    </cfRule>
  </conditionalFormatting>
  <conditionalFormatting sqref="B122">
    <cfRule type="expression" priority="2166" dxfId="11">
      <formula>AD122&lt;&gt;""</formula>
    </cfRule>
  </conditionalFormatting>
  <conditionalFormatting sqref="Z122">
    <cfRule type="cellIs" priority="2164" operator="greaterThan" dxfId="10">
      <formula>0</formula>
    </cfRule>
    <cfRule type="cellIs" priority="2165" operator="lessThan" dxfId="9">
      <formula>0</formula>
    </cfRule>
  </conditionalFormatting>
  <conditionalFormatting sqref="S122">
    <cfRule type="cellIs" priority="2163" operator="lessThan" dxfId="8">
      <formula>0</formula>
    </cfRule>
  </conditionalFormatting>
  <conditionalFormatting sqref="P122">
    <cfRule type="cellIs" priority="2161" operator="equal" dxfId="7">
      <formula>AS_DURATION_EFFORT</formula>
    </cfRule>
    <cfRule type="cellIs" priority="2162" operator="equal" dxfId="6">
      <formula>AS_DEV_EFFORT</formula>
    </cfRule>
  </conditionalFormatting>
  <conditionalFormatting sqref="F122">
    <cfRule type="expression" priority="2160" dxfId="3">
      <formula>$K122&lt;&gt;""</formula>
    </cfRule>
  </conditionalFormatting>
  <conditionalFormatting sqref="C122">
    <cfRule type="expression" priority="2159" dxfId="2">
      <formula>$G122&lt;&gt;"-"</formula>
    </cfRule>
  </conditionalFormatting>
  <conditionalFormatting sqref="D122">
    <cfRule type="expression" priority="2158" dxfId="1">
      <formula>$H122&lt;&gt;"-"</formula>
    </cfRule>
  </conditionalFormatting>
  <conditionalFormatting sqref="E122">
    <cfRule type="expression" priority="2157" dxfId="0">
      <formula>$I122&lt;&gt;"-"</formula>
    </cfRule>
  </conditionalFormatting>
  <conditionalFormatting sqref="B153">
    <cfRule type="expression" priority="2149" dxfId="11">
      <formula>AD153&lt;&gt;""</formula>
    </cfRule>
  </conditionalFormatting>
  <conditionalFormatting sqref="Z153">
    <cfRule type="cellIs" priority="2147" operator="greaterThan" dxfId="10">
      <formula>0</formula>
    </cfRule>
    <cfRule type="cellIs" priority="2148" operator="lessThan" dxfId="9">
      <formula>0</formula>
    </cfRule>
  </conditionalFormatting>
  <conditionalFormatting sqref="S153">
    <cfRule type="cellIs" priority="2146" operator="lessThan" dxfId="8">
      <formula>0</formula>
    </cfRule>
  </conditionalFormatting>
  <conditionalFormatting sqref="T151:T152">
    <cfRule type="expression" priority="2150" dxfId="4">
      <formula>#REF!="Yes"</formula>
    </cfRule>
  </conditionalFormatting>
  <conditionalFormatting sqref="P153">
    <cfRule type="cellIs" priority="2144" operator="equal" dxfId="7">
      <formula>AS_DURATION_EFFORT</formula>
    </cfRule>
    <cfRule type="cellIs" priority="2145" operator="equal" dxfId="6">
      <formula>AS_DEV_EFFORT</formula>
    </cfRule>
  </conditionalFormatting>
  <conditionalFormatting sqref="B151:B152">
    <cfRule type="expression" priority="2143" dxfId="11">
      <formula>AD151&lt;&gt;""</formula>
    </cfRule>
  </conditionalFormatting>
  <conditionalFormatting sqref="F153">
    <cfRule type="expression" priority="2142" dxfId="3">
      <formula>$K153&lt;&gt;""</formula>
    </cfRule>
  </conditionalFormatting>
  <conditionalFormatting sqref="C153">
    <cfRule type="expression" priority="2141" dxfId="2">
      <formula>$G153&lt;&gt;"-"</formula>
    </cfRule>
  </conditionalFormatting>
  <conditionalFormatting sqref="D153">
    <cfRule type="expression" priority="2140" dxfId="1">
      <formula>$H153&lt;&gt;"-"</formula>
    </cfRule>
  </conditionalFormatting>
  <conditionalFormatting sqref="E153">
    <cfRule type="expression" priority="2139" dxfId="0">
      <formula>$I153&lt;&gt;"-"</formula>
    </cfRule>
  </conditionalFormatting>
  <conditionalFormatting sqref="B154">
    <cfRule type="expression" priority="2136" dxfId="11">
      <formula>AD154&lt;&gt;""</formula>
    </cfRule>
  </conditionalFormatting>
  <conditionalFormatting sqref="Z154">
    <cfRule type="cellIs" priority="2134" operator="greaterThan" dxfId="10">
      <formula>0</formula>
    </cfRule>
    <cfRule type="cellIs" priority="2135" operator="lessThan" dxfId="9">
      <formula>0</formula>
    </cfRule>
  </conditionalFormatting>
  <conditionalFormatting sqref="S154">
    <cfRule type="cellIs" priority="2133" operator="lessThan" dxfId="8">
      <formula>0</formula>
    </cfRule>
  </conditionalFormatting>
  <conditionalFormatting sqref="F154">
    <cfRule type="expression" priority="2130" dxfId="3">
      <formula>$K154&lt;&gt;""</formula>
    </cfRule>
  </conditionalFormatting>
  <conditionalFormatting sqref="C154">
    <cfRule type="expression" priority="2129" dxfId="2">
      <formula>$G154&lt;&gt;"-"</formula>
    </cfRule>
  </conditionalFormatting>
  <conditionalFormatting sqref="D154">
    <cfRule type="expression" priority="2128" dxfId="1">
      <formula>$H154&lt;&gt;"-"</formula>
    </cfRule>
  </conditionalFormatting>
  <conditionalFormatting sqref="E154">
    <cfRule type="expression" priority="2127" dxfId="0">
      <formula>$I154&lt;&gt;"-"</formula>
    </cfRule>
  </conditionalFormatting>
  <conditionalFormatting sqref="B158">
    <cfRule type="expression" priority="2123" dxfId="11">
      <formula>AD158&lt;&gt;""</formula>
    </cfRule>
  </conditionalFormatting>
  <conditionalFormatting sqref="Z158">
    <cfRule type="cellIs" priority="2121" operator="greaterThan" dxfId="10">
      <formula>0</formula>
    </cfRule>
    <cfRule type="cellIs" priority="2122" operator="lessThan" dxfId="9">
      <formula>0</formula>
    </cfRule>
  </conditionalFormatting>
  <conditionalFormatting sqref="S158">
    <cfRule type="cellIs" priority="2120" operator="lessThan" dxfId="8">
      <formula>0</formula>
    </cfRule>
  </conditionalFormatting>
  <conditionalFormatting sqref="T156:T157">
    <cfRule type="expression" priority="2124" dxfId="4">
      <formula>#REF!="Yes"</formula>
    </cfRule>
  </conditionalFormatting>
  <conditionalFormatting sqref="P165">
    <cfRule type="cellIs" priority="2060" operator="equal" dxfId="7">
      <formula>AS_DURATION_EFFORT</formula>
    </cfRule>
    <cfRule type="cellIs" priority="2061" operator="equal" dxfId="6">
      <formula>AS_DEV_EFFORT</formula>
    </cfRule>
  </conditionalFormatting>
  <conditionalFormatting sqref="B156:B157">
    <cfRule type="expression" priority="2117" dxfId="11">
      <formula>AD156&lt;&gt;""</formula>
    </cfRule>
  </conditionalFormatting>
  <conditionalFormatting sqref="F158">
    <cfRule type="expression" priority="2116" dxfId="3">
      <formula>$K158&lt;&gt;""</formula>
    </cfRule>
  </conditionalFormatting>
  <conditionalFormatting sqref="C158">
    <cfRule type="expression" priority="2115" dxfId="2">
      <formula>$G158&lt;&gt;"-"</formula>
    </cfRule>
  </conditionalFormatting>
  <conditionalFormatting sqref="D158">
    <cfRule type="expression" priority="2114" dxfId="1">
      <formula>$H158&lt;&gt;"-"</formula>
    </cfRule>
  </conditionalFormatting>
  <conditionalFormatting sqref="E158">
    <cfRule type="expression" priority="2113" dxfId="0">
      <formula>$I158&lt;&gt;"-"</formula>
    </cfRule>
  </conditionalFormatting>
  <conditionalFormatting sqref="B159">
    <cfRule type="expression" priority="2110" dxfId="11">
      <formula>AD159&lt;&gt;""</formula>
    </cfRule>
  </conditionalFormatting>
  <conditionalFormatting sqref="Z159">
    <cfRule type="cellIs" priority="2108" operator="greaterThan" dxfId="10">
      <formula>0</formula>
    </cfRule>
    <cfRule type="cellIs" priority="2109" operator="lessThan" dxfId="9">
      <formula>0</formula>
    </cfRule>
  </conditionalFormatting>
  <conditionalFormatting sqref="S159">
    <cfRule type="cellIs" priority="2107" operator="lessThan" dxfId="8">
      <formula>0</formula>
    </cfRule>
  </conditionalFormatting>
  <conditionalFormatting sqref="P160">
    <cfRule type="cellIs" priority="2071" operator="equal" dxfId="7">
      <formula>AS_DURATION_EFFORT</formula>
    </cfRule>
    <cfRule type="cellIs" priority="2072" operator="equal" dxfId="6">
      <formula>AS_DEV_EFFORT</formula>
    </cfRule>
  </conditionalFormatting>
  <conditionalFormatting sqref="F159">
    <cfRule type="expression" priority="2104" dxfId="3">
      <formula>$K159&lt;&gt;""</formula>
    </cfRule>
  </conditionalFormatting>
  <conditionalFormatting sqref="C159">
    <cfRule type="expression" priority="2103" dxfId="2">
      <formula>$G159&lt;&gt;"-"</formula>
    </cfRule>
  </conditionalFormatting>
  <conditionalFormatting sqref="D159">
    <cfRule type="expression" priority="2102" dxfId="1">
      <formula>$H159&lt;&gt;"-"</formula>
    </cfRule>
  </conditionalFormatting>
  <conditionalFormatting sqref="E159">
    <cfRule type="expression" priority="2101" dxfId="0">
      <formula>$I159&lt;&gt;"-"</formula>
    </cfRule>
  </conditionalFormatting>
  <conditionalFormatting sqref="B161">
    <cfRule type="expression" priority="2098" dxfId="11">
      <formula>AD161&lt;&gt;""</formula>
    </cfRule>
  </conditionalFormatting>
  <conditionalFormatting sqref="Z161">
    <cfRule type="cellIs" priority="2096" operator="greaterThan" dxfId="10">
      <formula>0</formula>
    </cfRule>
    <cfRule type="cellIs" priority="2097" operator="lessThan" dxfId="9">
      <formula>0</formula>
    </cfRule>
  </conditionalFormatting>
  <conditionalFormatting sqref="S161">
    <cfRule type="cellIs" priority="2095" operator="lessThan" dxfId="8">
      <formula>0</formula>
    </cfRule>
  </conditionalFormatting>
  <conditionalFormatting sqref="P161">
    <cfRule type="cellIs" priority="2093" operator="equal" dxfId="7">
      <formula>AS_DURATION_EFFORT</formula>
    </cfRule>
    <cfRule type="cellIs" priority="2094" operator="equal" dxfId="6">
      <formula>AS_DEV_EFFORT</formula>
    </cfRule>
  </conditionalFormatting>
  <conditionalFormatting sqref="F161">
    <cfRule type="expression" priority="2092" dxfId="3">
      <formula>$K161&lt;&gt;""</formula>
    </cfRule>
  </conditionalFormatting>
  <conditionalFormatting sqref="C161">
    <cfRule type="expression" priority="2091" dxfId="2">
      <formula>$G161&lt;&gt;"-"</formula>
    </cfRule>
  </conditionalFormatting>
  <conditionalFormatting sqref="D161">
    <cfRule type="expression" priority="2090" dxfId="1">
      <formula>$H161&lt;&gt;"-"</formula>
    </cfRule>
  </conditionalFormatting>
  <conditionalFormatting sqref="E161">
    <cfRule type="expression" priority="2089" dxfId="0">
      <formula>$I161&lt;&gt;"-"</formula>
    </cfRule>
  </conditionalFormatting>
  <conditionalFormatting sqref="B160">
    <cfRule type="expression" priority="2086" dxfId="11">
      <formula>AD160&lt;&gt;""</formula>
    </cfRule>
  </conditionalFormatting>
  <conditionalFormatting sqref="Z160">
    <cfRule type="cellIs" priority="2084" operator="greaterThan" dxfId="10">
      <formula>0</formula>
    </cfRule>
    <cfRule type="cellIs" priority="2085" operator="lessThan" dxfId="9">
      <formula>0</formula>
    </cfRule>
  </conditionalFormatting>
  <conditionalFormatting sqref="S160">
    <cfRule type="cellIs" priority="2083" operator="lessThan" dxfId="8">
      <formula>0</formula>
    </cfRule>
  </conditionalFormatting>
  <conditionalFormatting sqref="P158">
    <cfRule type="cellIs" priority="2073" operator="equal" dxfId="7">
      <formula>AS_DURATION_EFFORT</formula>
    </cfRule>
    <cfRule type="cellIs" priority="2074" operator="equal" dxfId="6">
      <formula>AS_DEV_EFFORT</formula>
    </cfRule>
  </conditionalFormatting>
  <conditionalFormatting sqref="F160">
    <cfRule type="expression" priority="2080" dxfId="3">
      <formula>$K160&lt;&gt;""</formula>
    </cfRule>
  </conditionalFormatting>
  <conditionalFormatting sqref="C160">
    <cfRule type="expression" priority="2079" dxfId="2">
      <formula>$G160&lt;&gt;"-"</formula>
    </cfRule>
  </conditionalFormatting>
  <conditionalFormatting sqref="D160">
    <cfRule type="expression" priority="2078" dxfId="1">
      <formula>$H160&lt;&gt;"-"</formula>
    </cfRule>
  </conditionalFormatting>
  <conditionalFormatting sqref="E160">
    <cfRule type="expression" priority="2077" dxfId="0">
      <formula>$I160&lt;&gt;"-"</formula>
    </cfRule>
  </conditionalFormatting>
  <conditionalFormatting sqref="P168">
    <cfRule type="cellIs" priority="2047" operator="equal" dxfId="7">
      <formula>AS_DURATION_EFFORT</formula>
    </cfRule>
    <cfRule type="cellIs" priority="2048" operator="equal" dxfId="6">
      <formula>AS_DEV_EFFORT</formula>
    </cfRule>
  </conditionalFormatting>
  <conditionalFormatting sqref="P159:P160">
    <cfRule type="cellIs" priority="2069" operator="equal" dxfId="7">
      <formula>AS_DURATION_EFFORT</formula>
    </cfRule>
    <cfRule type="cellIs" priority="2070" operator="equal" dxfId="6">
      <formula>AS_DEV_EFFORT</formula>
    </cfRule>
  </conditionalFormatting>
  <conditionalFormatting sqref="B165">
    <cfRule type="expression" priority="2065" dxfId="11">
      <formula>AD165&lt;&gt;""</formula>
    </cfRule>
  </conditionalFormatting>
  <conditionalFormatting sqref="Z165">
    <cfRule type="cellIs" priority="2063" operator="greaterThan" dxfId="10">
      <formula>0</formula>
    </cfRule>
    <cfRule type="cellIs" priority="2064" operator="lessThan" dxfId="9">
      <formula>0</formula>
    </cfRule>
  </conditionalFormatting>
  <conditionalFormatting sqref="S165">
    <cfRule type="cellIs" priority="2062" operator="lessThan" dxfId="8">
      <formula>0</formula>
    </cfRule>
  </conditionalFormatting>
  <conditionalFormatting sqref="T163:T164">
    <cfRule type="expression" priority="2066" dxfId="4">
      <formula>#REF!="Yes"</formula>
    </cfRule>
  </conditionalFormatting>
  <conditionalFormatting sqref="B163:B164">
    <cfRule type="expression" priority="2059" dxfId="11">
      <formula>AD163&lt;&gt;""</formula>
    </cfRule>
  </conditionalFormatting>
  <conditionalFormatting sqref="F165">
    <cfRule type="expression" priority="2058" dxfId="3">
      <formula>$K165&lt;&gt;""</formula>
    </cfRule>
  </conditionalFormatting>
  <conditionalFormatting sqref="C165">
    <cfRule type="expression" priority="2057" dxfId="2">
      <formula>$G165&lt;&gt;"-"</formula>
    </cfRule>
  </conditionalFormatting>
  <conditionalFormatting sqref="D165">
    <cfRule type="expression" priority="2056" dxfId="1">
      <formula>$H165&lt;&gt;"-"</formula>
    </cfRule>
  </conditionalFormatting>
  <conditionalFormatting sqref="E165">
    <cfRule type="expression" priority="2055" dxfId="0">
      <formula>$I165&lt;&gt;"-"</formula>
    </cfRule>
  </conditionalFormatting>
  <conditionalFormatting sqref="B168">
    <cfRule type="expression" priority="2052" dxfId="11">
      <formula>AD168&lt;&gt;""</formula>
    </cfRule>
  </conditionalFormatting>
  <conditionalFormatting sqref="Z168">
    <cfRule type="cellIs" priority="2050" operator="greaterThan" dxfId="10">
      <formula>0</formula>
    </cfRule>
    <cfRule type="cellIs" priority="2051" operator="lessThan" dxfId="9">
      <formula>0</formula>
    </cfRule>
  </conditionalFormatting>
  <conditionalFormatting sqref="S168">
    <cfRule type="cellIs" priority="2049" operator="lessThan" dxfId="8">
      <formula>0</formula>
    </cfRule>
  </conditionalFormatting>
  <conditionalFormatting sqref="P167">
    <cfRule type="cellIs" priority="2035" operator="equal" dxfId="7">
      <formula>AS_DURATION_EFFORT</formula>
    </cfRule>
    <cfRule type="cellIs" priority="2036" operator="equal" dxfId="6">
      <formula>AS_DEV_EFFORT</formula>
    </cfRule>
  </conditionalFormatting>
  <conditionalFormatting sqref="F168">
    <cfRule type="expression" priority="2046" dxfId="3">
      <formula>$K168&lt;&gt;""</formula>
    </cfRule>
  </conditionalFormatting>
  <conditionalFormatting sqref="C168">
    <cfRule type="expression" priority="2045" dxfId="2">
      <formula>$G168&lt;&gt;"-"</formula>
    </cfRule>
  </conditionalFormatting>
  <conditionalFormatting sqref="D168">
    <cfRule type="expression" priority="2044" dxfId="1">
      <formula>$H168&lt;&gt;"-"</formula>
    </cfRule>
  </conditionalFormatting>
  <conditionalFormatting sqref="E168">
    <cfRule type="expression" priority="2043" dxfId="0">
      <formula>$I168&lt;&gt;"-"</formula>
    </cfRule>
  </conditionalFormatting>
  <conditionalFormatting sqref="B167">
    <cfRule type="expression" priority="2040" dxfId="11">
      <formula>AD167&lt;&gt;""</formula>
    </cfRule>
  </conditionalFormatting>
  <conditionalFormatting sqref="Z167">
    <cfRule type="cellIs" priority="2038" operator="greaterThan" dxfId="10">
      <formula>0</formula>
    </cfRule>
    <cfRule type="cellIs" priority="2039" operator="lessThan" dxfId="9">
      <formula>0</formula>
    </cfRule>
  </conditionalFormatting>
  <conditionalFormatting sqref="S167">
    <cfRule type="cellIs" priority="2037" operator="lessThan" dxfId="8">
      <formula>0</formula>
    </cfRule>
  </conditionalFormatting>
  <conditionalFormatting sqref="P166">
    <cfRule type="cellIs" priority="2023" operator="equal" dxfId="7">
      <formula>AS_DURATION_EFFORT</formula>
    </cfRule>
    <cfRule type="cellIs" priority="2024" operator="equal" dxfId="6">
      <formula>AS_DEV_EFFORT</formula>
    </cfRule>
  </conditionalFormatting>
  <conditionalFormatting sqref="F167">
    <cfRule type="expression" priority="2034" dxfId="3">
      <formula>$K167&lt;&gt;""</formula>
    </cfRule>
  </conditionalFormatting>
  <conditionalFormatting sqref="C167">
    <cfRule type="expression" priority="2033" dxfId="2">
      <formula>$G167&lt;&gt;"-"</formula>
    </cfRule>
  </conditionalFormatting>
  <conditionalFormatting sqref="D167">
    <cfRule type="expression" priority="2032" dxfId="1">
      <formula>$H167&lt;&gt;"-"</formula>
    </cfRule>
  </conditionalFormatting>
  <conditionalFormatting sqref="E167">
    <cfRule type="expression" priority="2031" dxfId="0">
      <formula>$I167&lt;&gt;"-"</formula>
    </cfRule>
  </conditionalFormatting>
  <conditionalFormatting sqref="B166">
    <cfRule type="expression" priority="2028" dxfId="11">
      <formula>AD166&lt;&gt;""</formula>
    </cfRule>
  </conditionalFormatting>
  <conditionalFormatting sqref="Z166">
    <cfRule type="cellIs" priority="2026" operator="greaterThan" dxfId="10">
      <formula>0</formula>
    </cfRule>
    <cfRule type="cellIs" priority="2027" operator="lessThan" dxfId="9">
      <formula>0</formula>
    </cfRule>
  </conditionalFormatting>
  <conditionalFormatting sqref="S166">
    <cfRule type="cellIs" priority="2025" operator="lessThan" dxfId="8">
      <formula>0</formula>
    </cfRule>
  </conditionalFormatting>
  <conditionalFormatting sqref="F166">
    <cfRule type="expression" priority="2022" dxfId="3">
      <formula>$K166&lt;&gt;""</formula>
    </cfRule>
  </conditionalFormatting>
  <conditionalFormatting sqref="C166">
    <cfRule type="expression" priority="2021" dxfId="2">
      <formula>$G166&lt;&gt;"-"</formula>
    </cfRule>
  </conditionalFormatting>
  <conditionalFormatting sqref="D166">
    <cfRule type="expression" priority="2020" dxfId="1">
      <formula>$H166&lt;&gt;"-"</formula>
    </cfRule>
  </conditionalFormatting>
  <conditionalFormatting sqref="E166">
    <cfRule type="expression" priority="2019" dxfId="0">
      <formula>$I166&lt;&gt;"-"</formula>
    </cfRule>
  </conditionalFormatting>
  <conditionalFormatting sqref="B177">
    <cfRule type="expression" priority="1987" dxfId="11">
      <formula>AD177&lt;&gt;""</formula>
    </cfRule>
  </conditionalFormatting>
  <conditionalFormatting sqref="Z177">
    <cfRule type="cellIs" priority="1985" operator="greaterThan" dxfId="10">
      <formula>0</formula>
    </cfRule>
    <cfRule type="cellIs" priority="1986" operator="lessThan" dxfId="9">
      <formula>0</formula>
    </cfRule>
  </conditionalFormatting>
  <conditionalFormatting sqref="S177">
    <cfRule type="cellIs" priority="1984" operator="lessThan" dxfId="8">
      <formula>0</formula>
    </cfRule>
  </conditionalFormatting>
  <conditionalFormatting sqref="T175:T176">
    <cfRule type="expression" priority="1988" dxfId="4">
      <formula>#REF!="Yes"</formula>
    </cfRule>
  </conditionalFormatting>
  <conditionalFormatting sqref="P177">
    <cfRule type="cellIs" priority="1982" operator="equal" dxfId="7">
      <formula>AS_DURATION_EFFORT</formula>
    </cfRule>
    <cfRule type="cellIs" priority="1983" operator="equal" dxfId="6">
      <formula>AS_DEV_EFFORT</formula>
    </cfRule>
  </conditionalFormatting>
  <conditionalFormatting sqref="B175:B176">
    <cfRule type="expression" priority="1981" dxfId="11">
      <formula>AD175&lt;&gt;""</formula>
    </cfRule>
  </conditionalFormatting>
  <conditionalFormatting sqref="F177">
    <cfRule type="expression" priority="1980" dxfId="3">
      <formula>$K177&lt;&gt;""</formula>
    </cfRule>
  </conditionalFormatting>
  <conditionalFormatting sqref="C177">
    <cfRule type="expression" priority="1979" dxfId="2">
      <formula>$G177&lt;&gt;"-"</formula>
    </cfRule>
  </conditionalFormatting>
  <conditionalFormatting sqref="D177">
    <cfRule type="expression" priority="1978" dxfId="1">
      <formula>$H177&lt;&gt;"-"</formula>
    </cfRule>
  </conditionalFormatting>
  <conditionalFormatting sqref="E177">
    <cfRule type="expression" priority="1977" dxfId="0">
      <formula>$I177&lt;&gt;"-"</formula>
    </cfRule>
  </conditionalFormatting>
  <conditionalFormatting sqref="B178">
    <cfRule type="expression" priority="1974" dxfId="11">
      <formula>AD178&lt;&gt;""</formula>
    </cfRule>
  </conditionalFormatting>
  <conditionalFormatting sqref="Z178">
    <cfRule type="cellIs" priority="1972" operator="greaterThan" dxfId="10">
      <formula>0</formula>
    </cfRule>
    <cfRule type="cellIs" priority="1973" operator="lessThan" dxfId="9">
      <formula>0</formula>
    </cfRule>
  </conditionalFormatting>
  <conditionalFormatting sqref="S178">
    <cfRule type="cellIs" priority="1971" operator="lessThan" dxfId="8">
      <formula>0</formula>
    </cfRule>
  </conditionalFormatting>
  <conditionalFormatting sqref="P178">
    <cfRule type="cellIs" priority="1969" operator="equal" dxfId="7">
      <formula>AS_DURATION_EFFORT</formula>
    </cfRule>
    <cfRule type="cellIs" priority="1970" operator="equal" dxfId="6">
      <formula>AS_DEV_EFFORT</formula>
    </cfRule>
  </conditionalFormatting>
  <conditionalFormatting sqref="F178">
    <cfRule type="expression" priority="1968" dxfId="3">
      <formula>$K178&lt;&gt;""</formula>
    </cfRule>
  </conditionalFormatting>
  <conditionalFormatting sqref="C178">
    <cfRule type="expression" priority="1967" dxfId="2">
      <formula>$G178&lt;&gt;"-"</formula>
    </cfRule>
  </conditionalFormatting>
  <conditionalFormatting sqref="D178">
    <cfRule type="expression" priority="1966" dxfId="1">
      <formula>$H178&lt;&gt;"-"</formula>
    </cfRule>
  </conditionalFormatting>
  <conditionalFormatting sqref="E178">
    <cfRule type="expression" priority="1965" dxfId="0">
      <formula>$I178&lt;&gt;"-"</formula>
    </cfRule>
  </conditionalFormatting>
  <conditionalFormatting sqref="B182">
    <cfRule type="expression" priority="1961" dxfId="11">
      <formula>AD182&lt;&gt;""</formula>
    </cfRule>
  </conditionalFormatting>
  <conditionalFormatting sqref="Z182">
    <cfRule type="cellIs" priority="1959" operator="greaterThan" dxfId="10">
      <formula>0</formula>
    </cfRule>
    <cfRule type="cellIs" priority="1960" operator="lessThan" dxfId="9">
      <formula>0</formula>
    </cfRule>
  </conditionalFormatting>
  <conditionalFormatting sqref="S182">
    <cfRule type="cellIs" priority="1958" operator="lessThan" dxfId="8">
      <formula>0</formula>
    </cfRule>
  </conditionalFormatting>
  <conditionalFormatting sqref="T180:T181">
    <cfRule type="expression" priority="1962" dxfId="4">
      <formula>#REF!="Yes"</formula>
    </cfRule>
  </conditionalFormatting>
  <conditionalFormatting sqref="P182">
    <cfRule type="cellIs" priority="1956" operator="equal" dxfId="7">
      <formula>AS_DURATION_EFFORT</formula>
    </cfRule>
    <cfRule type="cellIs" priority="1957" operator="equal" dxfId="6">
      <formula>AS_DEV_EFFORT</formula>
    </cfRule>
  </conditionalFormatting>
  <conditionalFormatting sqref="B180:B181">
    <cfRule type="expression" priority="1955" dxfId="11">
      <formula>AD180&lt;&gt;""</formula>
    </cfRule>
  </conditionalFormatting>
  <conditionalFormatting sqref="F182">
    <cfRule type="expression" priority="1954" dxfId="3">
      <formula>$K182&lt;&gt;""</formula>
    </cfRule>
  </conditionalFormatting>
  <conditionalFormatting sqref="C182">
    <cfRule type="expression" priority="1953" dxfId="2">
      <formula>$G182&lt;&gt;"-"</formula>
    </cfRule>
  </conditionalFormatting>
  <conditionalFormatting sqref="D182">
    <cfRule type="expression" priority="1952" dxfId="1">
      <formula>$H182&lt;&gt;"-"</formula>
    </cfRule>
  </conditionalFormatting>
  <conditionalFormatting sqref="E182">
    <cfRule type="expression" priority="1951" dxfId="0">
      <formula>$I182&lt;&gt;"-"</formula>
    </cfRule>
  </conditionalFormatting>
  <conditionalFormatting sqref="B186">
    <cfRule type="expression" priority="1923" dxfId="11">
      <formula>AD186&lt;&gt;""</formula>
    </cfRule>
  </conditionalFormatting>
  <conditionalFormatting sqref="Z186">
    <cfRule type="cellIs" priority="1921" operator="greaterThan" dxfId="10">
      <formula>0</formula>
    </cfRule>
    <cfRule type="cellIs" priority="1922" operator="lessThan" dxfId="9">
      <formula>0</formula>
    </cfRule>
  </conditionalFormatting>
  <conditionalFormatting sqref="S186">
    <cfRule type="cellIs" priority="1920" operator="lessThan" dxfId="8">
      <formula>0</formula>
    </cfRule>
  </conditionalFormatting>
  <conditionalFormatting sqref="T184:T185">
    <cfRule type="expression" priority="1924" dxfId="4">
      <formula>#REF!="Yes"</formula>
    </cfRule>
  </conditionalFormatting>
  <conditionalFormatting sqref="P186">
    <cfRule type="cellIs" priority="1918" operator="equal" dxfId="7">
      <formula>AS_DURATION_EFFORT</formula>
    </cfRule>
    <cfRule type="cellIs" priority="1919" operator="equal" dxfId="6">
      <formula>AS_DEV_EFFORT</formula>
    </cfRule>
  </conditionalFormatting>
  <conditionalFormatting sqref="B184:B185">
    <cfRule type="expression" priority="1917" dxfId="11">
      <formula>AD184&lt;&gt;""</formula>
    </cfRule>
  </conditionalFormatting>
  <conditionalFormatting sqref="F186">
    <cfRule type="expression" priority="1916" dxfId="3">
      <formula>$K186&lt;&gt;""</formula>
    </cfRule>
  </conditionalFormatting>
  <conditionalFormatting sqref="C186">
    <cfRule type="expression" priority="1915" dxfId="2">
      <formula>$G186&lt;&gt;"-"</formula>
    </cfRule>
  </conditionalFormatting>
  <conditionalFormatting sqref="D186">
    <cfRule type="expression" priority="1914" dxfId="1">
      <formula>$H186&lt;&gt;"-"</formula>
    </cfRule>
  </conditionalFormatting>
  <conditionalFormatting sqref="E186">
    <cfRule type="expression" priority="1913" dxfId="0">
      <formula>$I186&lt;&gt;"-"</formula>
    </cfRule>
  </conditionalFormatting>
  <conditionalFormatting sqref="B190">
    <cfRule type="expression" priority="1897" dxfId="11">
      <formula>AD190&lt;&gt;""</formula>
    </cfRule>
  </conditionalFormatting>
  <conditionalFormatting sqref="Z190">
    <cfRule type="cellIs" priority="1895" operator="greaterThan" dxfId="10">
      <formula>0</formula>
    </cfRule>
    <cfRule type="cellIs" priority="1896" operator="lessThan" dxfId="9">
      <formula>0</formula>
    </cfRule>
  </conditionalFormatting>
  <conditionalFormatting sqref="S190">
    <cfRule type="cellIs" priority="1894" operator="lessThan" dxfId="8">
      <formula>0</formula>
    </cfRule>
  </conditionalFormatting>
  <conditionalFormatting sqref="T188:T189">
    <cfRule type="expression" priority="1898" dxfId="4">
      <formula>#REF!="Yes"</formula>
    </cfRule>
  </conditionalFormatting>
  <conditionalFormatting sqref="P190">
    <cfRule type="cellIs" priority="1892" operator="equal" dxfId="7">
      <formula>AS_DURATION_EFFORT</formula>
    </cfRule>
    <cfRule type="cellIs" priority="1893" operator="equal" dxfId="6">
      <formula>AS_DEV_EFFORT</formula>
    </cfRule>
  </conditionalFormatting>
  <conditionalFormatting sqref="B188:B189">
    <cfRule type="expression" priority="1891" dxfId="11">
      <formula>AD188&lt;&gt;""</formula>
    </cfRule>
  </conditionalFormatting>
  <conditionalFormatting sqref="F190">
    <cfRule type="expression" priority="1890" dxfId="3">
      <formula>$K190&lt;&gt;""</formula>
    </cfRule>
  </conditionalFormatting>
  <conditionalFormatting sqref="C190">
    <cfRule type="expression" priority="1889" dxfId="2">
      <formula>$G190&lt;&gt;"-"</formula>
    </cfRule>
  </conditionalFormatting>
  <conditionalFormatting sqref="D190">
    <cfRule type="expression" priority="1888" dxfId="1">
      <formula>$H190&lt;&gt;"-"</formula>
    </cfRule>
  </conditionalFormatting>
  <conditionalFormatting sqref="E190">
    <cfRule type="expression" priority="1887" dxfId="0">
      <formula>$I190&lt;&gt;"-"</formula>
    </cfRule>
  </conditionalFormatting>
  <conditionalFormatting sqref="B193">
    <cfRule type="expression" priority="1884" dxfId="11">
      <formula>AD193&lt;&gt;""</formula>
    </cfRule>
  </conditionalFormatting>
  <conditionalFormatting sqref="Z193">
    <cfRule type="cellIs" priority="1882" operator="greaterThan" dxfId="10">
      <formula>0</formula>
    </cfRule>
    <cfRule type="cellIs" priority="1883" operator="lessThan" dxfId="9">
      <formula>0</formula>
    </cfRule>
  </conditionalFormatting>
  <conditionalFormatting sqref="S193">
    <cfRule type="cellIs" priority="1881" operator="lessThan" dxfId="8">
      <formula>0</formula>
    </cfRule>
  </conditionalFormatting>
  <conditionalFormatting sqref="P193">
    <cfRule type="cellIs" priority="1879" operator="equal" dxfId="7">
      <formula>AS_DURATION_EFFORT</formula>
    </cfRule>
    <cfRule type="cellIs" priority="1880" operator="equal" dxfId="6">
      <formula>AS_DEV_EFFORT</formula>
    </cfRule>
  </conditionalFormatting>
  <conditionalFormatting sqref="F193">
    <cfRule type="expression" priority="1878" dxfId="3">
      <formula>$K193&lt;&gt;""</formula>
    </cfRule>
  </conditionalFormatting>
  <conditionalFormatting sqref="C193">
    <cfRule type="expression" priority="1877" dxfId="2">
      <formula>$G193&lt;&gt;"-"</formula>
    </cfRule>
  </conditionalFormatting>
  <conditionalFormatting sqref="D193">
    <cfRule type="expression" priority="1876" dxfId="1">
      <formula>$H193&lt;&gt;"-"</formula>
    </cfRule>
  </conditionalFormatting>
  <conditionalFormatting sqref="E193">
    <cfRule type="expression" priority="1875" dxfId="0">
      <formula>$I193&lt;&gt;"-"</formula>
    </cfRule>
  </conditionalFormatting>
  <conditionalFormatting sqref="B192">
    <cfRule type="expression" priority="1872" dxfId="11">
      <formula>AD192&lt;&gt;""</formula>
    </cfRule>
  </conditionalFormatting>
  <conditionalFormatting sqref="Z192">
    <cfRule type="cellIs" priority="1870" operator="greaterThan" dxfId="10">
      <formula>0</formula>
    </cfRule>
    <cfRule type="cellIs" priority="1871" operator="lessThan" dxfId="9">
      <formula>0</formula>
    </cfRule>
  </conditionalFormatting>
  <conditionalFormatting sqref="S192">
    <cfRule type="cellIs" priority="1869" operator="lessThan" dxfId="8">
      <formula>0</formula>
    </cfRule>
  </conditionalFormatting>
  <conditionalFormatting sqref="P192">
    <cfRule type="cellIs" priority="1867" operator="equal" dxfId="7">
      <formula>AS_DURATION_EFFORT</formula>
    </cfRule>
    <cfRule type="cellIs" priority="1868" operator="equal" dxfId="6">
      <formula>AS_DEV_EFFORT</formula>
    </cfRule>
  </conditionalFormatting>
  <conditionalFormatting sqref="F192">
    <cfRule type="expression" priority="1866" dxfId="3">
      <formula>$K192&lt;&gt;""</formula>
    </cfRule>
  </conditionalFormatting>
  <conditionalFormatting sqref="C192">
    <cfRule type="expression" priority="1865" dxfId="2">
      <formula>$G192&lt;&gt;"-"</formula>
    </cfRule>
  </conditionalFormatting>
  <conditionalFormatting sqref="D192">
    <cfRule type="expression" priority="1864" dxfId="1">
      <formula>$H192&lt;&gt;"-"</formula>
    </cfRule>
  </conditionalFormatting>
  <conditionalFormatting sqref="E192">
    <cfRule type="expression" priority="1863" dxfId="0">
      <formula>$I192&lt;&gt;"-"</formula>
    </cfRule>
  </conditionalFormatting>
  <conditionalFormatting sqref="B191">
    <cfRule type="expression" priority="1860" dxfId="11">
      <formula>AD191&lt;&gt;""</formula>
    </cfRule>
  </conditionalFormatting>
  <conditionalFormatting sqref="Z191">
    <cfRule type="cellIs" priority="1858" operator="greaterThan" dxfId="10">
      <formula>0</formula>
    </cfRule>
    <cfRule type="cellIs" priority="1859" operator="lessThan" dxfId="9">
      <formula>0</formula>
    </cfRule>
  </conditionalFormatting>
  <conditionalFormatting sqref="S191">
    <cfRule type="cellIs" priority="1857" operator="lessThan" dxfId="8">
      <formula>0</formula>
    </cfRule>
  </conditionalFormatting>
  <conditionalFormatting sqref="P191">
    <cfRule type="cellIs" priority="1855" operator="equal" dxfId="7">
      <formula>AS_DURATION_EFFORT</formula>
    </cfRule>
    <cfRule type="cellIs" priority="1856" operator="equal" dxfId="6">
      <formula>AS_DEV_EFFORT</formula>
    </cfRule>
  </conditionalFormatting>
  <conditionalFormatting sqref="F191">
    <cfRule type="expression" priority="1854" dxfId="3">
      <formula>$K191&lt;&gt;""</formula>
    </cfRule>
  </conditionalFormatting>
  <conditionalFormatting sqref="C191">
    <cfRule type="expression" priority="1853" dxfId="2">
      <formula>$G191&lt;&gt;"-"</formula>
    </cfRule>
  </conditionalFormatting>
  <conditionalFormatting sqref="D191">
    <cfRule type="expression" priority="1852" dxfId="1">
      <formula>$H191&lt;&gt;"-"</formula>
    </cfRule>
  </conditionalFormatting>
  <conditionalFormatting sqref="E191">
    <cfRule type="expression" priority="1851" dxfId="0">
      <formula>$I191&lt;&gt;"-"</formula>
    </cfRule>
  </conditionalFormatting>
  <conditionalFormatting sqref="B200">
    <cfRule type="expression" priority="1841" dxfId="11">
      <formula>AD200&lt;&gt;""</formula>
    </cfRule>
  </conditionalFormatting>
  <conditionalFormatting sqref="Z200">
    <cfRule type="cellIs" priority="1839" operator="greaterThan" dxfId="10">
      <formula>0</formula>
    </cfRule>
    <cfRule type="cellIs" priority="1840" operator="lessThan" dxfId="9">
      <formula>0</formula>
    </cfRule>
  </conditionalFormatting>
  <conditionalFormatting sqref="S200">
    <cfRule type="cellIs" priority="1838" operator="lessThan" dxfId="8">
      <formula>0</formula>
    </cfRule>
  </conditionalFormatting>
  <conditionalFormatting sqref="T198:T199">
    <cfRule type="expression" priority="1842" dxfId="4">
      <formula>#REF!="Yes"</formula>
    </cfRule>
  </conditionalFormatting>
  <conditionalFormatting sqref="P200">
    <cfRule type="cellIs" priority="1836" operator="equal" dxfId="7">
      <formula>AS_DURATION_EFFORT</formula>
    </cfRule>
    <cfRule type="cellIs" priority="1837" operator="equal" dxfId="6">
      <formula>AS_DEV_EFFORT</formula>
    </cfRule>
  </conditionalFormatting>
  <conditionalFormatting sqref="B198:B199">
    <cfRule type="expression" priority="1835" dxfId="11">
      <formula>AD198&lt;&gt;""</formula>
    </cfRule>
  </conditionalFormatting>
  <conditionalFormatting sqref="F200">
    <cfRule type="expression" priority="1834" dxfId="3">
      <formula>$K200&lt;&gt;""</formula>
    </cfRule>
  </conditionalFormatting>
  <conditionalFormatting sqref="C200">
    <cfRule type="expression" priority="1833" dxfId="2">
      <formula>$G200&lt;&gt;"-"</formula>
    </cfRule>
  </conditionalFormatting>
  <conditionalFormatting sqref="D200">
    <cfRule type="expression" priority="1832" dxfId="1">
      <formula>$H200&lt;&gt;"-"</formula>
    </cfRule>
  </conditionalFormatting>
  <conditionalFormatting sqref="E200">
    <cfRule type="expression" priority="1831" dxfId="0">
      <formula>$I200&lt;&gt;"-"</formula>
    </cfRule>
  </conditionalFormatting>
  <conditionalFormatting sqref="B18">
    <cfRule type="expression" priority="888" dxfId="11">
      <formula>AD18&lt;&gt;""</formula>
    </cfRule>
  </conditionalFormatting>
  <conditionalFormatting sqref="Z18">
    <cfRule type="cellIs" priority="886" operator="greaterThan" dxfId="10">
      <formula>0</formula>
    </cfRule>
    <cfRule type="cellIs" priority="887" operator="lessThan" dxfId="9">
      <formula>0</formula>
    </cfRule>
  </conditionalFormatting>
  <conditionalFormatting sqref="S18">
    <cfRule type="cellIs" priority="885" operator="lessThan" dxfId="8">
      <formula>0</formula>
    </cfRule>
  </conditionalFormatting>
  <conditionalFormatting sqref="L18:M18 O18 R18:AC18">
    <cfRule type="expression" priority="889" dxfId="5">
      <formula>AND($G18="Yes", $S$6="Exclude")</formula>
    </cfRule>
    <cfRule type="expression" priority="890" dxfId="4">
      <formula>$J18="Yes"</formula>
    </cfRule>
  </conditionalFormatting>
  <conditionalFormatting sqref="F18">
    <cfRule type="expression" priority="882" dxfId="3">
      <formula>$K18&lt;&gt;""</formula>
    </cfRule>
  </conditionalFormatting>
  <conditionalFormatting sqref="C18">
    <cfRule type="expression" priority="881" dxfId="2">
      <formula>$G18&lt;&gt;"-"</formula>
    </cfRule>
  </conditionalFormatting>
  <conditionalFormatting sqref="D18">
    <cfRule type="expression" priority="880" dxfId="1">
      <formula>$H18&lt;&gt;"-"</formula>
    </cfRule>
  </conditionalFormatting>
  <conditionalFormatting sqref="E18">
    <cfRule type="expression" priority="879" dxfId="0">
      <formula>$I18&lt;&gt;"-"</formula>
    </cfRule>
  </conditionalFormatting>
  <conditionalFormatting sqref="B28">
    <cfRule type="expression" priority="875" dxfId="11">
      <formula>AD28&lt;&gt;""</formula>
    </cfRule>
  </conditionalFormatting>
  <conditionalFormatting sqref="Z28">
    <cfRule type="cellIs" priority="873" operator="greaterThan" dxfId="10">
      <formula>0</formula>
    </cfRule>
    <cfRule type="cellIs" priority="874" operator="lessThan" dxfId="9">
      <formula>0</formula>
    </cfRule>
  </conditionalFormatting>
  <conditionalFormatting sqref="S28">
    <cfRule type="cellIs" priority="872" operator="lessThan" dxfId="8">
      <formula>0</formula>
    </cfRule>
  </conditionalFormatting>
  <conditionalFormatting sqref="T26:T27">
    <cfRule type="expression" priority="876" dxfId="4">
      <formula>#REF!="Yes"</formula>
    </cfRule>
  </conditionalFormatting>
  <conditionalFormatting sqref="P28">
    <cfRule type="cellIs" priority="870" operator="equal" dxfId="7">
      <formula>AS_DURATION_EFFORT</formula>
    </cfRule>
    <cfRule type="cellIs" priority="871" operator="equal" dxfId="6">
      <formula>AS_DEV_EFFORT</formula>
    </cfRule>
  </conditionalFormatting>
  <conditionalFormatting sqref="B26:B27">
    <cfRule type="expression" priority="869" dxfId="11">
      <formula>AD26&lt;&gt;""</formula>
    </cfRule>
  </conditionalFormatting>
  <conditionalFormatting sqref="F28">
    <cfRule type="expression" priority="868" dxfId="3">
      <formula>$K28&lt;&gt;""</formula>
    </cfRule>
  </conditionalFormatting>
  <conditionalFormatting sqref="C28">
    <cfRule type="expression" priority="867" dxfId="2">
      <formula>$G28&lt;&gt;"-"</formula>
    </cfRule>
  </conditionalFormatting>
  <conditionalFormatting sqref="D28">
    <cfRule type="expression" priority="866" dxfId="1">
      <formula>$H28&lt;&gt;"-"</formula>
    </cfRule>
  </conditionalFormatting>
  <conditionalFormatting sqref="E28">
    <cfRule type="expression" priority="865" dxfId="0">
      <formula>$I28&lt;&gt;"-"</formula>
    </cfRule>
  </conditionalFormatting>
  <conditionalFormatting sqref="B35">
    <cfRule type="expression" priority="861" dxfId="11">
      <formula>AD35&lt;&gt;""</formula>
    </cfRule>
  </conditionalFormatting>
  <conditionalFormatting sqref="Z35">
    <cfRule type="cellIs" priority="859" operator="greaterThan" dxfId="10">
      <formula>0</formula>
    </cfRule>
    <cfRule type="cellIs" priority="860" operator="lessThan" dxfId="9">
      <formula>0</formula>
    </cfRule>
  </conditionalFormatting>
  <conditionalFormatting sqref="S35">
    <cfRule type="cellIs" priority="858" operator="lessThan" dxfId="8">
      <formula>0</formula>
    </cfRule>
  </conditionalFormatting>
  <conditionalFormatting sqref="T33:T34">
    <cfRule type="expression" priority="862" dxfId="4">
      <formula>#REF!="Yes"</formula>
    </cfRule>
  </conditionalFormatting>
  <conditionalFormatting sqref="P35">
    <cfRule type="cellIs" priority="856" operator="equal" dxfId="7">
      <formula>AS_DURATION_EFFORT</formula>
    </cfRule>
    <cfRule type="cellIs" priority="857" operator="equal" dxfId="6">
      <formula>AS_DEV_EFFORT</formula>
    </cfRule>
  </conditionalFormatting>
  <conditionalFormatting sqref="B33:B34">
    <cfRule type="expression" priority="855" dxfId="11">
      <formula>AD33&lt;&gt;""</formula>
    </cfRule>
  </conditionalFormatting>
  <conditionalFormatting sqref="F35">
    <cfRule type="expression" priority="854" dxfId="3">
      <formula>$K35&lt;&gt;""</formula>
    </cfRule>
  </conditionalFormatting>
  <conditionalFormatting sqref="C35">
    <cfRule type="expression" priority="853" dxfId="2">
      <formula>$G35&lt;&gt;"-"</formula>
    </cfRule>
  </conditionalFormatting>
  <conditionalFormatting sqref="D35">
    <cfRule type="expression" priority="852" dxfId="1">
      <formula>$H35&lt;&gt;"-"</formula>
    </cfRule>
  </conditionalFormatting>
  <conditionalFormatting sqref="E35">
    <cfRule type="expression" priority="851" dxfId="0">
      <formula>$I35&lt;&gt;"-"</formula>
    </cfRule>
  </conditionalFormatting>
  <conditionalFormatting sqref="B43">
    <cfRule type="expression" priority="847" dxfId="11">
      <formula>AD43&lt;&gt;""</formula>
    </cfRule>
  </conditionalFormatting>
  <conditionalFormatting sqref="Z43">
    <cfRule type="cellIs" priority="845" operator="greaterThan" dxfId="10">
      <formula>0</formula>
    </cfRule>
    <cfRule type="cellIs" priority="846" operator="lessThan" dxfId="9">
      <formula>0</formula>
    </cfRule>
  </conditionalFormatting>
  <conditionalFormatting sqref="S43">
    <cfRule type="cellIs" priority="844" operator="lessThan" dxfId="8">
      <formula>0</formula>
    </cfRule>
  </conditionalFormatting>
  <conditionalFormatting sqref="T41:T42">
    <cfRule type="expression" priority="848" dxfId="4">
      <formula>#REF!="Yes"</formula>
    </cfRule>
  </conditionalFormatting>
  <conditionalFormatting sqref="P43">
    <cfRule type="cellIs" priority="842" operator="equal" dxfId="7">
      <formula>AS_DURATION_EFFORT</formula>
    </cfRule>
    <cfRule type="cellIs" priority="843" operator="equal" dxfId="6">
      <formula>AS_DEV_EFFORT</formula>
    </cfRule>
    <cfRule type="cellIs" priority="651" operator="equal" dxfId="7">
      <formula>AS_DURATION_EFFORT</formula>
    </cfRule>
    <cfRule type="cellIs" priority="652" operator="equal" dxfId="6">
      <formula>AS_DEV_EFFORT</formula>
    </cfRule>
  </conditionalFormatting>
  <conditionalFormatting sqref="B41:B42">
    <cfRule type="expression" priority="841" dxfId="11">
      <formula>AD41&lt;&gt;""</formula>
    </cfRule>
  </conditionalFormatting>
  <conditionalFormatting sqref="F43">
    <cfRule type="expression" priority="840" dxfId="3">
      <formula>$K43&lt;&gt;""</formula>
    </cfRule>
  </conditionalFormatting>
  <conditionalFormatting sqref="C43">
    <cfRule type="expression" priority="839" dxfId="2">
      <formula>$G43&lt;&gt;"-"</formula>
    </cfRule>
  </conditionalFormatting>
  <conditionalFormatting sqref="D43">
    <cfRule type="expression" priority="838" dxfId="1">
      <formula>$H43&lt;&gt;"-"</formula>
    </cfRule>
  </conditionalFormatting>
  <conditionalFormatting sqref="E43">
    <cfRule type="expression" priority="837" dxfId="0">
      <formula>$I43&lt;&gt;"-"</formula>
    </cfRule>
  </conditionalFormatting>
  <conditionalFormatting sqref="B49">
    <cfRule type="expression" priority="833" dxfId="11">
      <formula>AD49&lt;&gt;""</formula>
    </cfRule>
  </conditionalFormatting>
  <conditionalFormatting sqref="Z49">
    <cfRule type="cellIs" priority="831" operator="greaterThan" dxfId="10">
      <formula>0</formula>
    </cfRule>
    <cfRule type="cellIs" priority="832" operator="lessThan" dxfId="9">
      <formula>0</formula>
    </cfRule>
  </conditionalFormatting>
  <conditionalFormatting sqref="S49">
    <cfRule type="cellIs" priority="830" operator="lessThan" dxfId="8">
      <formula>0</formula>
    </cfRule>
  </conditionalFormatting>
  <conditionalFormatting sqref="T47:T48">
    <cfRule type="expression" priority="834" dxfId="4">
      <formula>#REF!="Yes"</formula>
    </cfRule>
  </conditionalFormatting>
  <conditionalFormatting sqref="P49">
    <cfRule type="cellIs" priority="828" operator="equal" dxfId="7">
      <formula>AS_DURATION_EFFORT</formula>
    </cfRule>
    <cfRule type="cellIs" priority="829" operator="equal" dxfId="6">
      <formula>AS_DEV_EFFORT</formula>
    </cfRule>
  </conditionalFormatting>
  <conditionalFormatting sqref="B47:B48">
    <cfRule type="expression" priority="827" dxfId="11">
      <formula>AD47&lt;&gt;""</formula>
    </cfRule>
  </conditionalFormatting>
  <conditionalFormatting sqref="F49">
    <cfRule type="expression" priority="826" dxfId="3">
      <formula>$K49&lt;&gt;""</formula>
    </cfRule>
  </conditionalFormatting>
  <conditionalFormatting sqref="C49">
    <cfRule type="expression" priority="825" dxfId="2">
      <formula>$G49&lt;&gt;"-"</formula>
    </cfRule>
  </conditionalFormatting>
  <conditionalFormatting sqref="D49">
    <cfRule type="expression" priority="824" dxfId="1">
      <formula>$H49&lt;&gt;"-"</formula>
    </cfRule>
  </conditionalFormatting>
  <conditionalFormatting sqref="E49">
    <cfRule type="expression" priority="823" dxfId="0">
      <formula>$I49&lt;&gt;"-"</formula>
    </cfRule>
  </conditionalFormatting>
  <conditionalFormatting sqref="B58">
    <cfRule type="expression" priority="819" dxfId="11">
      <formula>AD58&lt;&gt;""</formula>
    </cfRule>
  </conditionalFormatting>
  <conditionalFormatting sqref="Z58">
    <cfRule type="cellIs" priority="817" operator="greaterThan" dxfId="10">
      <formula>0</formula>
    </cfRule>
    <cfRule type="cellIs" priority="818" operator="lessThan" dxfId="9">
      <formula>0</formula>
    </cfRule>
  </conditionalFormatting>
  <conditionalFormatting sqref="S58">
    <cfRule type="cellIs" priority="816" operator="lessThan" dxfId="8">
      <formula>0</formula>
    </cfRule>
  </conditionalFormatting>
  <conditionalFormatting sqref="T56:T57">
    <cfRule type="expression" priority="820" dxfId="4">
      <formula>#REF!="Yes"</formula>
    </cfRule>
  </conditionalFormatting>
  <conditionalFormatting sqref="P58">
    <cfRule type="cellIs" priority="814" operator="equal" dxfId="7">
      <formula>AS_DURATION_EFFORT</formula>
    </cfRule>
    <cfRule type="cellIs" priority="815" operator="equal" dxfId="6">
      <formula>AS_DEV_EFFORT</formula>
    </cfRule>
  </conditionalFormatting>
  <conditionalFormatting sqref="B56:B57">
    <cfRule type="expression" priority="813" dxfId="11">
      <formula>AD56&lt;&gt;""</formula>
    </cfRule>
  </conditionalFormatting>
  <conditionalFormatting sqref="F58">
    <cfRule type="expression" priority="812" dxfId="3">
      <formula>$K58&lt;&gt;""</formula>
    </cfRule>
  </conditionalFormatting>
  <conditionalFormatting sqref="C58">
    <cfRule type="expression" priority="811" dxfId="2">
      <formula>$G58&lt;&gt;"-"</formula>
    </cfRule>
  </conditionalFormatting>
  <conditionalFormatting sqref="D58">
    <cfRule type="expression" priority="810" dxfId="1">
      <formula>$H58&lt;&gt;"-"</formula>
    </cfRule>
  </conditionalFormatting>
  <conditionalFormatting sqref="E58">
    <cfRule type="expression" priority="809" dxfId="0">
      <formula>$I58&lt;&gt;"-"</formula>
    </cfRule>
  </conditionalFormatting>
  <conditionalFormatting sqref="N18">
    <cfRule type="expression" priority="807" dxfId="5">
      <formula>AND($G18="Yes", $S$6="Exclude")</formula>
    </cfRule>
    <cfRule type="expression" priority="808" dxfId="4">
      <formula>$J18="Yes"</formula>
    </cfRule>
  </conditionalFormatting>
  <conditionalFormatting sqref="P18">
    <cfRule type="cellIs" priority="803" operator="equal" dxfId="7">
      <formula>AS_DURATION_EFFORT</formula>
    </cfRule>
    <cfRule type="cellIs" priority="804" operator="equal" dxfId="6">
      <formula>AS_DEV_EFFORT</formula>
    </cfRule>
  </conditionalFormatting>
  <conditionalFormatting sqref="P18:Q18">
    <cfRule type="expression" priority="805" dxfId="5">
      <formula>AND($G18="Yes", $S$6="Exclude")</formula>
    </cfRule>
    <cfRule type="expression" priority="806" dxfId="4">
      <formula>$J18="Yes"</formula>
    </cfRule>
  </conditionalFormatting>
  <conditionalFormatting sqref="B22">
    <cfRule type="expression" priority="800" dxfId="11">
      <formula>AD22&lt;&gt;""</formula>
    </cfRule>
  </conditionalFormatting>
  <conditionalFormatting sqref="Z22">
    <cfRule type="cellIs" priority="798" operator="greaterThan" dxfId="10">
      <formula>0</formula>
    </cfRule>
    <cfRule type="cellIs" priority="799" operator="lessThan" dxfId="9">
      <formula>0</formula>
    </cfRule>
  </conditionalFormatting>
  <conditionalFormatting sqref="S22">
    <cfRule type="cellIs" priority="797" operator="lessThan" dxfId="8">
      <formula>0</formula>
    </cfRule>
  </conditionalFormatting>
  <conditionalFormatting sqref="P22">
    <cfRule type="cellIs" priority="795" operator="equal" dxfId="7">
      <formula>AS_DURATION_EFFORT</formula>
    </cfRule>
    <cfRule type="cellIs" priority="796" operator="equal" dxfId="6">
      <formula>AS_DEV_EFFORT</formula>
    </cfRule>
  </conditionalFormatting>
  <conditionalFormatting sqref="L22:M22 O22:AC22">
    <cfRule type="expression" priority="801" dxfId="5">
      <formula>AND($G22="Yes", $S$6="Exclude")</formula>
    </cfRule>
    <cfRule type="expression" priority="802" dxfId="4">
      <formula>$J22="Yes"</formula>
    </cfRule>
  </conditionalFormatting>
  <conditionalFormatting sqref="F22">
    <cfRule type="expression" priority="794" dxfId="3">
      <formula>$K22&lt;&gt;""</formula>
    </cfRule>
  </conditionalFormatting>
  <conditionalFormatting sqref="C22">
    <cfRule type="expression" priority="793" dxfId="2">
      <formula>$G22&lt;&gt;"-"</formula>
    </cfRule>
  </conditionalFormatting>
  <conditionalFormatting sqref="D22">
    <cfRule type="expression" priority="792" dxfId="1">
      <formula>$H22&lt;&gt;"-"</formula>
    </cfRule>
  </conditionalFormatting>
  <conditionalFormatting sqref="E22">
    <cfRule type="expression" priority="791" dxfId="0">
      <formula>$I22&lt;&gt;"-"</formula>
    </cfRule>
  </conditionalFormatting>
  <conditionalFormatting sqref="N22">
    <cfRule type="expression" priority="789" dxfId="5">
      <formula>AND($G22="Yes", $S$6="Exclude")</formula>
    </cfRule>
    <cfRule type="expression" priority="790" dxfId="4">
      <formula>$J22="Yes"</formula>
    </cfRule>
  </conditionalFormatting>
  <conditionalFormatting sqref="B31">
    <cfRule type="expression" priority="786" dxfId="11">
      <formula>AD31&lt;&gt;""</formula>
    </cfRule>
  </conditionalFormatting>
  <conditionalFormatting sqref="Z31">
    <cfRule type="cellIs" priority="784" operator="greaterThan" dxfId="10">
      <formula>0</formula>
    </cfRule>
    <cfRule type="cellIs" priority="785" operator="lessThan" dxfId="9">
      <formula>0</formula>
    </cfRule>
  </conditionalFormatting>
  <conditionalFormatting sqref="S31">
    <cfRule type="cellIs" priority="783" operator="lessThan" dxfId="8">
      <formula>0</formula>
    </cfRule>
  </conditionalFormatting>
  <conditionalFormatting sqref="P31">
    <cfRule type="cellIs" priority="781" operator="equal" dxfId="7">
      <formula>AS_DURATION_EFFORT</formula>
    </cfRule>
    <cfRule type="cellIs" priority="782" operator="equal" dxfId="6">
      <formula>AS_DEV_EFFORT</formula>
    </cfRule>
  </conditionalFormatting>
  <conditionalFormatting sqref="L31:M31 O31:AC31">
    <cfRule type="expression" priority="787" dxfId="5">
      <formula>AND($G31="Yes", $S$6="Exclude")</formula>
    </cfRule>
    <cfRule type="expression" priority="788" dxfId="4">
      <formula>$J31="Yes"</formula>
    </cfRule>
  </conditionalFormatting>
  <conditionalFormatting sqref="F31">
    <cfRule type="expression" priority="780" dxfId="3">
      <formula>$K31&lt;&gt;""</formula>
    </cfRule>
  </conditionalFormatting>
  <conditionalFormatting sqref="C31">
    <cfRule type="expression" priority="779" dxfId="2">
      <formula>$G31&lt;&gt;"-"</formula>
    </cfRule>
  </conditionalFormatting>
  <conditionalFormatting sqref="D31">
    <cfRule type="expression" priority="778" dxfId="1">
      <formula>$H31&lt;&gt;"-"</formula>
    </cfRule>
  </conditionalFormatting>
  <conditionalFormatting sqref="E31">
    <cfRule type="expression" priority="777" dxfId="0">
      <formula>$I31&lt;&gt;"-"</formula>
    </cfRule>
  </conditionalFormatting>
  <conditionalFormatting sqref="B30">
    <cfRule type="expression" priority="774" dxfId="11">
      <formula>AD30&lt;&gt;""</formula>
    </cfRule>
  </conditionalFormatting>
  <conditionalFormatting sqref="Z30">
    <cfRule type="cellIs" priority="772" operator="greaterThan" dxfId="10">
      <formula>0</formula>
    </cfRule>
    <cfRule type="cellIs" priority="773" operator="lessThan" dxfId="9">
      <formula>0</formula>
    </cfRule>
  </conditionalFormatting>
  <conditionalFormatting sqref="S30">
    <cfRule type="cellIs" priority="771" operator="lessThan" dxfId="8">
      <formula>0</formula>
    </cfRule>
  </conditionalFormatting>
  <conditionalFormatting sqref="P30">
    <cfRule type="cellIs" priority="769" operator="equal" dxfId="7">
      <formula>AS_DURATION_EFFORT</formula>
    </cfRule>
    <cfRule type="cellIs" priority="770" operator="equal" dxfId="6">
      <formula>AS_DEV_EFFORT</formula>
    </cfRule>
  </conditionalFormatting>
  <conditionalFormatting sqref="L30:M30 P30:AC30">
    <cfRule type="expression" priority="775" dxfId="5">
      <formula>AND($G30="Yes", $S$6="Exclude")</formula>
    </cfRule>
    <cfRule type="expression" priority="776" dxfId="4">
      <formula>$J30="Yes"</formula>
    </cfRule>
  </conditionalFormatting>
  <conditionalFormatting sqref="F30">
    <cfRule type="expression" priority="768" dxfId="3">
      <formula>$K30&lt;&gt;""</formula>
    </cfRule>
  </conditionalFormatting>
  <conditionalFormatting sqref="C30">
    <cfRule type="expression" priority="767" dxfId="2">
      <formula>$G30&lt;&gt;"-"</formula>
    </cfRule>
  </conditionalFormatting>
  <conditionalFormatting sqref="D30">
    <cfRule type="expression" priority="766" dxfId="1">
      <formula>$H30&lt;&gt;"-"</formula>
    </cfRule>
  </conditionalFormatting>
  <conditionalFormatting sqref="E30">
    <cfRule type="expression" priority="765" dxfId="0">
      <formula>$I30&lt;&gt;"-"</formula>
    </cfRule>
  </conditionalFormatting>
  <conditionalFormatting sqref="B29">
    <cfRule type="expression" priority="762" dxfId="11">
      <formula>AD29&lt;&gt;""</formula>
    </cfRule>
  </conditionalFormatting>
  <conditionalFormatting sqref="Z29">
    <cfRule type="cellIs" priority="760" operator="greaterThan" dxfId="10">
      <formula>0</formula>
    </cfRule>
    <cfRule type="cellIs" priority="761" operator="lessThan" dxfId="9">
      <formula>0</formula>
    </cfRule>
  </conditionalFormatting>
  <conditionalFormatting sqref="S29">
    <cfRule type="cellIs" priority="759" operator="lessThan" dxfId="8">
      <formula>0</formula>
    </cfRule>
  </conditionalFormatting>
  <conditionalFormatting sqref="P29">
    <cfRule type="cellIs" priority="757" operator="equal" dxfId="7">
      <formula>AS_DURATION_EFFORT</formula>
    </cfRule>
    <cfRule type="cellIs" priority="758" operator="equal" dxfId="6">
      <formula>AS_DEV_EFFORT</formula>
    </cfRule>
  </conditionalFormatting>
  <conditionalFormatting sqref="L29:M29 P29:AC29">
    <cfRule type="expression" priority="763" dxfId="5">
      <formula>AND($G29="Yes", $S$6="Exclude")</formula>
    </cfRule>
    <cfRule type="expression" priority="764" dxfId="4">
      <formula>$J29="Yes"</formula>
    </cfRule>
  </conditionalFormatting>
  <conditionalFormatting sqref="F29">
    <cfRule type="expression" priority="756" dxfId="3">
      <formula>$K29&lt;&gt;""</formula>
    </cfRule>
  </conditionalFormatting>
  <conditionalFormatting sqref="C29">
    <cfRule type="expression" priority="755" dxfId="2">
      <formula>$G29&lt;&gt;"-"</formula>
    </cfRule>
  </conditionalFormatting>
  <conditionalFormatting sqref="D29">
    <cfRule type="expression" priority="754" dxfId="1">
      <formula>$H29&lt;&gt;"-"</formula>
    </cfRule>
  </conditionalFormatting>
  <conditionalFormatting sqref="E29">
    <cfRule type="expression" priority="753" dxfId="0">
      <formula>$I29&lt;&gt;"-"</formula>
    </cfRule>
  </conditionalFormatting>
  <conditionalFormatting sqref="N30:N31">
    <cfRule type="expression" priority="751" dxfId="5">
      <formula>AND($G30="Yes", $S$6="Exclude")</formula>
    </cfRule>
    <cfRule type="expression" priority="752" dxfId="4">
      <formula>$J30="Yes"</formula>
    </cfRule>
  </conditionalFormatting>
  <conditionalFormatting sqref="N28">
    <cfRule type="expression" priority="749" dxfId="5">
      <formula>AND($G28="Yes", $S$6="Exclude")</formula>
    </cfRule>
    <cfRule type="expression" priority="750" dxfId="4">
      <formula>$J28="Yes"</formula>
    </cfRule>
  </conditionalFormatting>
  <conditionalFormatting sqref="N29">
    <cfRule type="expression" priority="747" dxfId="5">
      <formula>AND($G29="Yes", $S$6="Exclude")</formula>
    </cfRule>
    <cfRule type="expression" priority="748" dxfId="4">
      <formula>$J29="Yes"</formula>
    </cfRule>
  </conditionalFormatting>
  <conditionalFormatting sqref="O30">
    <cfRule type="expression" priority="745" dxfId="5">
      <formula>AND($G30="Yes", $S$6="Exclude")</formula>
    </cfRule>
    <cfRule type="expression" priority="746" dxfId="4">
      <formula>$J30="Yes"</formula>
    </cfRule>
  </conditionalFormatting>
  <conditionalFormatting sqref="O29">
    <cfRule type="expression" priority="743" dxfId="5">
      <formula>AND($G29="Yes", $S$6="Exclude")</formula>
    </cfRule>
    <cfRule type="expression" priority="744" dxfId="4">
      <formula>$J29="Yes"</formula>
    </cfRule>
  </conditionalFormatting>
  <conditionalFormatting sqref="B39">
    <cfRule type="expression" priority="740" dxfId="11">
      <formula>AD39&lt;&gt;""</formula>
    </cfRule>
  </conditionalFormatting>
  <conditionalFormatting sqref="Z39">
    <cfRule type="cellIs" priority="738" operator="greaterThan" dxfId="10">
      <formula>0</formula>
    </cfRule>
    <cfRule type="cellIs" priority="739" operator="lessThan" dxfId="9">
      <formula>0</formula>
    </cfRule>
  </conditionalFormatting>
  <conditionalFormatting sqref="S39">
    <cfRule type="cellIs" priority="737" operator="lessThan" dxfId="8">
      <formula>0</formula>
    </cfRule>
  </conditionalFormatting>
  <conditionalFormatting sqref="P39">
    <cfRule type="cellIs" priority="735" operator="equal" dxfId="7">
      <formula>AS_DURATION_EFFORT</formula>
    </cfRule>
    <cfRule type="cellIs" priority="736" operator="equal" dxfId="6">
      <formula>AS_DEV_EFFORT</formula>
    </cfRule>
  </conditionalFormatting>
  <conditionalFormatting sqref="L39:M39 O39:AC39">
    <cfRule type="expression" priority="741" dxfId="5">
      <formula>AND($G39="Yes", $S$6="Exclude")</formula>
    </cfRule>
    <cfRule type="expression" priority="742" dxfId="4">
      <formula>$J39="Yes"</formula>
    </cfRule>
  </conditionalFormatting>
  <conditionalFormatting sqref="F39">
    <cfRule type="expression" priority="734" dxfId="3">
      <formula>$K39&lt;&gt;""</formula>
    </cfRule>
  </conditionalFormatting>
  <conditionalFormatting sqref="C39">
    <cfRule type="expression" priority="733" dxfId="2">
      <formula>$G39&lt;&gt;"-"</formula>
    </cfRule>
  </conditionalFormatting>
  <conditionalFormatting sqref="D39">
    <cfRule type="expression" priority="732" dxfId="1">
      <formula>$H39&lt;&gt;"-"</formula>
    </cfRule>
  </conditionalFormatting>
  <conditionalFormatting sqref="E39">
    <cfRule type="expression" priority="731" dxfId="0">
      <formula>$I39&lt;&gt;"-"</formula>
    </cfRule>
  </conditionalFormatting>
  <conditionalFormatting sqref="B38">
    <cfRule type="expression" priority="728" dxfId="11">
      <formula>AD38&lt;&gt;""</formula>
    </cfRule>
  </conditionalFormatting>
  <conditionalFormatting sqref="Z38">
    <cfRule type="cellIs" priority="726" operator="greaterThan" dxfId="10">
      <formula>0</formula>
    </cfRule>
    <cfRule type="cellIs" priority="727" operator="lessThan" dxfId="9">
      <formula>0</formula>
    </cfRule>
  </conditionalFormatting>
  <conditionalFormatting sqref="S38">
    <cfRule type="cellIs" priority="725" operator="lessThan" dxfId="8">
      <formula>0</formula>
    </cfRule>
  </conditionalFormatting>
  <conditionalFormatting sqref="P38">
    <cfRule type="cellIs" priority="723" operator="equal" dxfId="7">
      <formula>AS_DURATION_EFFORT</formula>
    </cfRule>
    <cfRule type="cellIs" priority="724" operator="equal" dxfId="6">
      <formula>AS_DEV_EFFORT</formula>
    </cfRule>
  </conditionalFormatting>
  <conditionalFormatting sqref="L38:M38 P38:AC38">
    <cfRule type="expression" priority="729" dxfId="5">
      <formula>AND($G38="Yes", $S$6="Exclude")</formula>
    </cfRule>
    <cfRule type="expression" priority="730" dxfId="4">
      <formula>$J38="Yes"</formula>
    </cfRule>
  </conditionalFormatting>
  <conditionalFormatting sqref="F38">
    <cfRule type="expression" priority="722" dxfId="3">
      <formula>$K38&lt;&gt;""</formula>
    </cfRule>
  </conditionalFormatting>
  <conditionalFormatting sqref="C38">
    <cfRule type="expression" priority="721" dxfId="2">
      <formula>$G38&lt;&gt;"-"</formula>
    </cfRule>
  </conditionalFormatting>
  <conditionalFormatting sqref="D38">
    <cfRule type="expression" priority="720" dxfId="1">
      <formula>$H38&lt;&gt;"-"</formula>
    </cfRule>
  </conditionalFormatting>
  <conditionalFormatting sqref="E38">
    <cfRule type="expression" priority="719" dxfId="0">
      <formula>$I38&lt;&gt;"-"</formula>
    </cfRule>
  </conditionalFormatting>
  <conditionalFormatting sqref="B37">
    <cfRule type="expression" priority="716" dxfId="11">
      <formula>AD37&lt;&gt;""</formula>
    </cfRule>
  </conditionalFormatting>
  <conditionalFormatting sqref="Z37">
    <cfRule type="cellIs" priority="714" operator="greaterThan" dxfId="10">
      <formula>0</formula>
    </cfRule>
    <cfRule type="cellIs" priority="715" operator="lessThan" dxfId="9">
      <formula>0</formula>
    </cfRule>
  </conditionalFormatting>
  <conditionalFormatting sqref="S37">
    <cfRule type="cellIs" priority="713" operator="lessThan" dxfId="8">
      <formula>0</formula>
    </cfRule>
  </conditionalFormatting>
  <conditionalFormatting sqref="P37">
    <cfRule type="cellIs" priority="711" operator="equal" dxfId="7">
      <formula>AS_DURATION_EFFORT</formula>
    </cfRule>
    <cfRule type="cellIs" priority="712" operator="equal" dxfId="6">
      <formula>AS_DEV_EFFORT</formula>
    </cfRule>
  </conditionalFormatting>
  <conditionalFormatting sqref="L37:M37 P37:AC37">
    <cfRule type="expression" priority="717" dxfId="5">
      <formula>AND($G37="Yes", $S$6="Exclude")</formula>
    </cfRule>
    <cfRule type="expression" priority="718" dxfId="4">
      <formula>$J37="Yes"</formula>
    </cfRule>
  </conditionalFormatting>
  <conditionalFormatting sqref="F37">
    <cfRule type="expression" priority="710" dxfId="3">
      <formula>$K37&lt;&gt;""</formula>
    </cfRule>
  </conditionalFormatting>
  <conditionalFormatting sqref="C37">
    <cfRule type="expression" priority="709" dxfId="2">
      <formula>$G37&lt;&gt;"-"</formula>
    </cfRule>
  </conditionalFormatting>
  <conditionalFormatting sqref="D37">
    <cfRule type="expression" priority="708" dxfId="1">
      <formula>$H37&lt;&gt;"-"</formula>
    </cfRule>
  </conditionalFormatting>
  <conditionalFormatting sqref="E37">
    <cfRule type="expression" priority="707" dxfId="0">
      <formula>$I37&lt;&gt;"-"</formula>
    </cfRule>
  </conditionalFormatting>
  <conditionalFormatting sqref="B36">
    <cfRule type="expression" priority="704" dxfId="11">
      <formula>AD36&lt;&gt;""</formula>
    </cfRule>
  </conditionalFormatting>
  <conditionalFormatting sqref="Z36">
    <cfRule type="cellIs" priority="702" operator="greaterThan" dxfId="10">
      <formula>0</formula>
    </cfRule>
    <cfRule type="cellIs" priority="703" operator="lessThan" dxfId="9">
      <formula>0</formula>
    </cfRule>
  </conditionalFormatting>
  <conditionalFormatting sqref="S36">
    <cfRule type="cellIs" priority="701" operator="lessThan" dxfId="8">
      <formula>0</formula>
    </cfRule>
  </conditionalFormatting>
  <conditionalFormatting sqref="P36">
    <cfRule type="cellIs" priority="699" operator="equal" dxfId="7">
      <formula>AS_DURATION_EFFORT</formula>
    </cfRule>
    <cfRule type="cellIs" priority="700" operator="equal" dxfId="6">
      <formula>AS_DEV_EFFORT</formula>
    </cfRule>
  </conditionalFormatting>
  <conditionalFormatting sqref="L36:M36 P36:AC36">
    <cfRule type="expression" priority="705" dxfId="5">
      <formula>AND($G36="Yes", $S$6="Exclude")</formula>
    </cfRule>
    <cfRule type="expression" priority="706" dxfId="4">
      <formula>$J36="Yes"</formula>
    </cfRule>
  </conditionalFormatting>
  <conditionalFormatting sqref="F36">
    <cfRule type="expression" priority="698" dxfId="3">
      <formula>$K36&lt;&gt;""</formula>
    </cfRule>
  </conditionalFormatting>
  <conditionalFormatting sqref="C36">
    <cfRule type="expression" priority="697" dxfId="2">
      <formula>$G36&lt;&gt;"-"</formula>
    </cfRule>
  </conditionalFormatting>
  <conditionalFormatting sqref="D36">
    <cfRule type="expression" priority="696" dxfId="1">
      <formula>$H36&lt;&gt;"-"</formula>
    </cfRule>
  </conditionalFormatting>
  <conditionalFormatting sqref="E36">
    <cfRule type="expression" priority="695" dxfId="0">
      <formula>$I36&lt;&gt;"-"</formula>
    </cfRule>
  </conditionalFormatting>
  <conditionalFormatting sqref="N35">
    <cfRule type="expression" priority="693" dxfId="5">
      <formula>AND($G35="Yes", $S$6="Exclude")</formula>
    </cfRule>
    <cfRule type="expression" priority="694" dxfId="4">
      <formula>$J35="Yes"</formula>
    </cfRule>
  </conditionalFormatting>
  <conditionalFormatting sqref="N38">
    <cfRule type="expression" priority="691" dxfId="5">
      <formula>AND($G38="Yes", $S$6="Exclude")</formula>
    </cfRule>
    <cfRule type="expression" priority="692" dxfId="4">
      <formula>$J38="Yes"</formula>
    </cfRule>
  </conditionalFormatting>
  <conditionalFormatting sqref="N37">
    <cfRule type="expression" priority="689" dxfId="5">
      <formula>AND($G37="Yes", $S$6="Exclude")</formula>
    </cfRule>
    <cfRule type="expression" priority="690" dxfId="4">
      <formula>$J37="Yes"</formula>
    </cfRule>
  </conditionalFormatting>
  <conditionalFormatting sqref="N36">
    <cfRule type="expression" priority="687" dxfId="5">
      <formula>AND($G36="Yes", $S$6="Exclude")</formula>
    </cfRule>
    <cfRule type="expression" priority="688" dxfId="4">
      <formula>$J36="Yes"</formula>
    </cfRule>
  </conditionalFormatting>
  <conditionalFormatting sqref="N39">
    <cfRule type="expression" priority="685" dxfId="5">
      <formula>AND($G39="Yes", $S$6="Exclude")</formula>
    </cfRule>
    <cfRule type="expression" priority="686" dxfId="4">
      <formula>$J39="Yes"</formula>
    </cfRule>
  </conditionalFormatting>
  <conditionalFormatting sqref="O36">
    <cfRule type="expression" priority="683" dxfId="5">
      <formula>AND($G36="Yes", $S$6="Exclude")</formula>
    </cfRule>
    <cfRule type="expression" priority="684" dxfId="4">
      <formula>$J36="Yes"</formula>
    </cfRule>
  </conditionalFormatting>
  <conditionalFormatting sqref="O37">
    <cfRule type="expression" priority="681" dxfId="5">
      <formula>AND($G37="Yes", $S$6="Exclude")</formula>
    </cfRule>
    <cfRule type="expression" priority="682" dxfId="4">
      <formula>$J37="Yes"</formula>
    </cfRule>
  </conditionalFormatting>
  <conditionalFormatting sqref="O38">
    <cfRule type="expression" priority="679" dxfId="5">
      <formula>AND($G38="Yes", $S$6="Exclude")</formula>
    </cfRule>
    <cfRule type="expression" priority="680" dxfId="4">
      <formula>$J38="Yes"</formula>
    </cfRule>
  </conditionalFormatting>
  <conditionalFormatting sqref="B45">
    <cfRule type="expression" priority="676" dxfId="11">
      <formula>AD45&lt;&gt;""</formula>
    </cfRule>
  </conditionalFormatting>
  <conditionalFormatting sqref="Z45">
    <cfRule type="cellIs" priority="674" operator="greaterThan" dxfId="10">
      <formula>0</formula>
    </cfRule>
    <cfRule type="cellIs" priority="675" operator="lessThan" dxfId="9">
      <formula>0</formula>
    </cfRule>
  </conditionalFormatting>
  <conditionalFormatting sqref="S45">
    <cfRule type="cellIs" priority="673" operator="lessThan" dxfId="8">
      <formula>0</formula>
    </cfRule>
  </conditionalFormatting>
  <conditionalFormatting sqref="P45">
    <cfRule type="cellIs" priority="671" operator="equal" dxfId="7">
      <formula>AS_DURATION_EFFORT</formula>
    </cfRule>
    <cfRule type="cellIs" priority="672" operator="equal" dxfId="6">
      <formula>AS_DEV_EFFORT</formula>
    </cfRule>
  </conditionalFormatting>
  <conditionalFormatting sqref="L45:M45 P45:AC45">
    <cfRule type="expression" priority="677" dxfId="5">
      <formula>AND($G45="Yes", $S$6="Exclude")</formula>
    </cfRule>
    <cfRule type="expression" priority="678" dxfId="4">
      <formula>$J45="Yes"</formula>
    </cfRule>
  </conditionalFormatting>
  <conditionalFormatting sqref="F45">
    <cfRule type="expression" priority="670" dxfId="3">
      <formula>$K45&lt;&gt;""</formula>
    </cfRule>
  </conditionalFormatting>
  <conditionalFormatting sqref="C45">
    <cfRule type="expression" priority="669" dxfId="2">
      <formula>$G45&lt;&gt;"-"</formula>
    </cfRule>
  </conditionalFormatting>
  <conditionalFormatting sqref="D45">
    <cfRule type="expression" priority="668" dxfId="1">
      <formula>$H45&lt;&gt;"-"</formula>
    </cfRule>
  </conditionalFormatting>
  <conditionalFormatting sqref="E45">
    <cfRule type="expression" priority="667" dxfId="0">
      <formula>$I45&lt;&gt;"-"</formula>
    </cfRule>
  </conditionalFormatting>
  <conditionalFormatting sqref="B44">
    <cfRule type="expression" priority="664" dxfId="11">
      <formula>AD44&lt;&gt;""</formula>
    </cfRule>
  </conditionalFormatting>
  <conditionalFormatting sqref="Z44">
    <cfRule type="cellIs" priority="662" operator="greaterThan" dxfId="10">
      <formula>0</formula>
    </cfRule>
    <cfRule type="cellIs" priority="663" operator="lessThan" dxfId="9">
      <formula>0</formula>
    </cfRule>
  </conditionalFormatting>
  <conditionalFormatting sqref="S44">
    <cfRule type="cellIs" priority="661" operator="lessThan" dxfId="8">
      <formula>0</formula>
    </cfRule>
  </conditionalFormatting>
  <conditionalFormatting sqref="P44">
    <cfRule type="cellIs" priority="659" operator="equal" dxfId="7">
      <formula>AS_DURATION_EFFORT</formula>
    </cfRule>
    <cfRule type="cellIs" priority="660" operator="equal" dxfId="6">
      <formula>AS_DEV_EFFORT</formula>
    </cfRule>
  </conditionalFormatting>
  <conditionalFormatting sqref="L44:M44 P44:AC44">
    <cfRule type="expression" priority="665" dxfId="5">
      <formula>AND($G44="Yes", $S$6="Exclude")</formula>
    </cfRule>
    <cfRule type="expression" priority="666" dxfId="4">
      <formula>$J44="Yes"</formula>
    </cfRule>
  </conditionalFormatting>
  <conditionalFormatting sqref="F44">
    <cfRule type="expression" priority="658" dxfId="3">
      <formula>$K44&lt;&gt;""</formula>
    </cfRule>
  </conditionalFormatting>
  <conditionalFormatting sqref="C44">
    <cfRule type="expression" priority="657" dxfId="2">
      <formula>$G44&lt;&gt;"-"</formula>
    </cfRule>
  </conditionalFormatting>
  <conditionalFormatting sqref="D44">
    <cfRule type="expression" priority="656" dxfId="1">
      <formula>$H44&lt;&gt;"-"</formula>
    </cfRule>
  </conditionalFormatting>
  <conditionalFormatting sqref="E44">
    <cfRule type="expression" priority="655" dxfId="0">
      <formula>$I44&lt;&gt;"-"</formula>
    </cfRule>
  </conditionalFormatting>
  <conditionalFormatting sqref="N43:O45">
    <cfRule type="expression" priority="653" dxfId="5">
      <formula>AND($G43="Yes", $S$6="Exclude")</formula>
    </cfRule>
    <cfRule type="expression" priority="654" dxfId="4">
      <formula>$J43="Yes"</formula>
    </cfRule>
  </conditionalFormatting>
  <conditionalFormatting sqref="B54">
    <cfRule type="expression" priority="648" dxfId="11">
      <formula>AD54&lt;&gt;""</formula>
    </cfRule>
  </conditionalFormatting>
  <conditionalFormatting sqref="Z54">
    <cfRule type="cellIs" priority="646" operator="greaterThan" dxfId="10">
      <formula>0</formula>
    </cfRule>
    <cfRule type="cellIs" priority="647" operator="lessThan" dxfId="9">
      <formula>0</formula>
    </cfRule>
  </conditionalFormatting>
  <conditionalFormatting sqref="S54">
    <cfRule type="cellIs" priority="645" operator="lessThan" dxfId="8">
      <formula>0</formula>
    </cfRule>
  </conditionalFormatting>
  <conditionalFormatting sqref="P54">
    <cfRule type="cellIs" priority="643" operator="equal" dxfId="7">
      <formula>AS_DURATION_EFFORT</formula>
    </cfRule>
    <cfRule type="cellIs" priority="644" operator="equal" dxfId="6">
      <formula>AS_DEV_EFFORT</formula>
    </cfRule>
  </conditionalFormatting>
  <conditionalFormatting sqref="L54:M54 O54:AC54">
    <cfRule type="expression" priority="649" dxfId="5">
      <formula>AND($G54="Yes", $S$6="Exclude")</formula>
    </cfRule>
    <cfRule type="expression" priority="650" dxfId="4">
      <formula>$J54="Yes"</formula>
    </cfRule>
  </conditionalFormatting>
  <conditionalFormatting sqref="F54">
    <cfRule type="expression" priority="642" dxfId="3">
      <formula>$K54&lt;&gt;""</formula>
    </cfRule>
  </conditionalFormatting>
  <conditionalFormatting sqref="C54">
    <cfRule type="expression" priority="641" dxfId="2">
      <formula>$G54&lt;&gt;"-"</formula>
    </cfRule>
  </conditionalFormatting>
  <conditionalFormatting sqref="D54">
    <cfRule type="expression" priority="640" dxfId="1">
      <formula>$H54&lt;&gt;"-"</formula>
    </cfRule>
  </conditionalFormatting>
  <conditionalFormatting sqref="E54">
    <cfRule type="expression" priority="639" dxfId="0">
      <formula>$I54&lt;&gt;"-"</formula>
    </cfRule>
  </conditionalFormatting>
  <conditionalFormatting sqref="B53">
    <cfRule type="expression" priority="636" dxfId="11">
      <formula>AD53&lt;&gt;""</formula>
    </cfRule>
  </conditionalFormatting>
  <conditionalFormatting sqref="Z53">
    <cfRule type="cellIs" priority="634" operator="greaterThan" dxfId="10">
      <formula>0</formula>
    </cfRule>
    <cfRule type="cellIs" priority="635" operator="lessThan" dxfId="9">
      <formula>0</formula>
    </cfRule>
  </conditionalFormatting>
  <conditionalFormatting sqref="S53">
    <cfRule type="cellIs" priority="633" operator="lessThan" dxfId="8">
      <formula>0</formula>
    </cfRule>
  </conditionalFormatting>
  <conditionalFormatting sqref="P53">
    <cfRule type="cellIs" priority="631" operator="equal" dxfId="7">
      <formula>AS_DURATION_EFFORT</formula>
    </cfRule>
    <cfRule type="cellIs" priority="632" operator="equal" dxfId="6">
      <formula>AS_DEV_EFFORT</formula>
    </cfRule>
  </conditionalFormatting>
  <conditionalFormatting sqref="L53:M53 O53:AC53">
    <cfRule type="expression" priority="637" dxfId="5">
      <formula>AND($G53="Yes", $S$6="Exclude")</formula>
    </cfRule>
    <cfRule type="expression" priority="638" dxfId="4">
      <formula>$J53="Yes"</formula>
    </cfRule>
  </conditionalFormatting>
  <conditionalFormatting sqref="F53">
    <cfRule type="expression" priority="630" dxfId="3">
      <formula>$K53&lt;&gt;""</formula>
    </cfRule>
  </conditionalFormatting>
  <conditionalFormatting sqref="C53">
    <cfRule type="expression" priority="629" dxfId="2">
      <formula>$G53&lt;&gt;"-"</formula>
    </cfRule>
  </conditionalFormatting>
  <conditionalFormatting sqref="D53">
    <cfRule type="expression" priority="628" dxfId="1">
      <formula>$H53&lt;&gt;"-"</formula>
    </cfRule>
  </conditionalFormatting>
  <conditionalFormatting sqref="E53">
    <cfRule type="expression" priority="627" dxfId="0">
      <formula>$I53&lt;&gt;"-"</formula>
    </cfRule>
  </conditionalFormatting>
  <conditionalFormatting sqref="B52">
    <cfRule type="expression" priority="624" dxfId="11">
      <formula>AD52&lt;&gt;""</formula>
    </cfRule>
  </conditionalFormatting>
  <conditionalFormatting sqref="Z52">
    <cfRule type="cellIs" priority="622" operator="greaterThan" dxfId="10">
      <formula>0</formula>
    </cfRule>
    <cfRule type="cellIs" priority="623" operator="lessThan" dxfId="9">
      <formula>0</formula>
    </cfRule>
  </conditionalFormatting>
  <conditionalFormatting sqref="S52">
    <cfRule type="cellIs" priority="621" operator="lessThan" dxfId="8">
      <formula>0</formula>
    </cfRule>
  </conditionalFormatting>
  <conditionalFormatting sqref="P52">
    <cfRule type="cellIs" priority="619" operator="equal" dxfId="7">
      <formula>AS_DURATION_EFFORT</formula>
    </cfRule>
    <cfRule type="cellIs" priority="620" operator="equal" dxfId="6">
      <formula>AS_DEV_EFFORT</formula>
    </cfRule>
  </conditionalFormatting>
  <conditionalFormatting sqref="L52:M52 O52:AC52">
    <cfRule type="expression" priority="625" dxfId="5">
      <formula>AND($G52="Yes", $S$6="Exclude")</formula>
    </cfRule>
    <cfRule type="expression" priority="626" dxfId="4">
      <formula>$J52="Yes"</formula>
    </cfRule>
  </conditionalFormatting>
  <conditionalFormatting sqref="F52">
    <cfRule type="expression" priority="618" dxfId="3">
      <formula>$K52&lt;&gt;""</formula>
    </cfRule>
  </conditionalFormatting>
  <conditionalFormatting sqref="C52">
    <cfRule type="expression" priority="617" dxfId="2">
      <formula>$G52&lt;&gt;"-"</formula>
    </cfRule>
  </conditionalFormatting>
  <conditionalFormatting sqref="D52">
    <cfRule type="expression" priority="616" dxfId="1">
      <formula>$H52&lt;&gt;"-"</formula>
    </cfRule>
  </conditionalFormatting>
  <conditionalFormatting sqref="E52">
    <cfRule type="expression" priority="615" dxfId="0">
      <formula>$I52&lt;&gt;"-"</formula>
    </cfRule>
  </conditionalFormatting>
  <conditionalFormatting sqref="B51">
    <cfRule type="expression" priority="612" dxfId="11">
      <formula>AD51&lt;&gt;""</formula>
    </cfRule>
  </conditionalFormatting>
  <conditionalFormatting sqref="Z51">
    <cfRule type="cellIs" priority="610" operator="greaterThan" dxfId="10">
      <formula>0</formula>
    </cfRule>
    <cfRule type="cellIs" priority="611" operator="lessThan" dxfId="9">
      <formula>0</formula>
    </cfRule>
  </conditionalFormatting>
  <conditionalFormatting sqref="S51">
    <cfRule type="cellIs" priority="609" operator="lessThan" dxfId="8">
      <formula>0</formula>
    </cfRule>
  </conditionalFormatting>
  <conditionalFormatting sqref="P51">
    <cfRule type="cellIs" priority="607" operator="equal" dxfId="7">
      <formula>AS_DURATION_EFFORT</formula>
    </cfRule>
    <cfRule type="cellIs" priority="608" operator="equal" dxfId="6">
      <formula>AS_DEV_EFFORT</formula>
    </cfRule>
  </conditionalFormatting>
  <conditionalFormatting sqref="L51:M51 O51:AC51">
    <cfRule type="expression" priority="613" dxfId="5">
      <formula>AND($G51="Yes", $S$6="Exclude")</formula>
    </cfRule>
    <cfRule type="expression" priority="614" dxfId="4">
      <formula>$J51="Yes"</formula>
    </cfRule>
  </conditionalFormatting>
  <conditionalFormatting sqref="F51">
    <cfRule type="expression" priority="606" dxfId="3">
      <formula>$K51&lt;&gt;""</formula>
    </cfRule>
  </conditionalFormatting>
  <conditionalFormatting sqref="C51">
    <cfRule type="expression" priority="605" dxfId="2">
      <formula>$G51&lt;&gt;"-"</formula>
    </cfRule>
  </conditionalFormatting>
  <conditionalFormatting sqref="D51">
    <cfRule type="expression" priority="604" dxfId="1">
      <formula>$H51&lt;&gt;"-"</formula>
    </cfRule>
  </conditionalFormatting>
  <conditionalFormatting sqref="E51">
    <cfRule type="expression" priority="603" dxfId="0">
      <formula>$I51&lt;&gt;"-"</formula>
    </cfRule>
  </conditionalFormatting>
  <conditionalFormatting sqref="B50">
    <cfRule type="expression" priority="600" dxfId="11">
      <formula>AD50&lt;&gt;""</formula>
    </cfRule>
  </conditionalFormatting>
  <conditionalFormatting sqref="Z50">
    <cfRule type="cellIs" priority="598" operator="greaterThan" dxfId="10">
      <formula>0</formula>
    </cfRule>
    <cfRule type="cellIs" priority="599" operator="lessThan" dxfId="9">
      <formula>0</formula>
    </cfRule>
  </conditionalFormatting>
  <conditionalFormatting sqref="S50">
    <cfRule type="cellIs" priority="597" operator="lessThan" dxfId="8">
      <formula>0</formula>
    </cfRule>
  </conditionalFormatting>
  <conditionalFormatting sqref="P50">
    <cfRule type="cellIs" priority="595" operator="equal" dxfId="7">
      <formula>AS_DURATION_EFFORT</formula>
    </cfRule>
    <cfRule type="cellIs" priority="596" operator="equal" dxfId="6">
      <formula>AS_DEV_EFFORT</formula>
    </cfRule>
  </conditionalFormatting>
  <conditionalFormatting sqref="L50:M50 O50:AC50">
    <cfRule type="expression" priority="601" dxfId="5">
      <formula>AND($G50="Yes", $S$6="Exclude")</formula>
    </cfRule>
    <cfRule type="expression" priority="602" dxfId="4">
      <formula>$J50="Yes"</formula>
    </cfRule>
  </conditionalFormatting>
  <conditionalFormatting sqref="F50">
    <cfRule type="expression" priority="594" dxfId="3">
      <formula>$K50&lt;&gt;""</formula>
    </cfRule>
  </conditionalFormatting>
  <conditionalFormatting sqref="C50">
    <cfRule type="expression" priority="593" dxfId="2">
      <formula>$G50&lt;&gt;"-"</formula>
    </cfRule>
  </conditionalFormatting>
  <conditionalFormatting sqref="D50">
    <cfRule type="expression" priority="592" dxfId="1">
      <formula>$H50&lt;&gt;"-"</formula>
    </cfRule>
  </conditionalFormatting>
  <conditionalFormatting sqref="E50">
    <cfRule type="expression" priority="591" dxfId="0">
      <formula>$I50&lt;&gt;"-"</formula>
    </cfRule>
  </conditionalFormatting>
  <conditionalFormatting sqref="N49:N54">
    <cfRule type="expression" priority="589" dxfId="5">
      <formula>AND($G49="Yes", $S$6="Exclude")</formula>
    </cfRule>
    <cfRule type="expression" priority="590" dxfId="4">
      <formula>$J49="Yes"</formula>
    </cfRule>
  </conditionalFormatting>
  <conditionalFormatting sqref="B62">
    <cfRule type="expression" priority="586" dxfId="11">
      <formula>AD62&lt;&gt;""</formula>
    </cfRule>
  </conditionalFormatting>
  <conditionalFormatting sqref="Z62">
    <cfRule type="cellIs" priority="584" operator="greaterThan" dxfId="10">
      <formula>0</formula>
    </cfRule>
    <cfRule type="cellIs" priority="585" operator="lessThan" dxfId="9">
      <formula>0</formula>
    </cfRule>
  </conditionalFormatting>
  <conditionalFormatting sqref="S62">
    <cfRule type="cellIs" priority="583" operator="lessThan" dxfId="8">
      <formula>0</formula>
    </cfRule>
  </conditionalFormatting>
  <conditionalFormatting sqref="P62">
    <cfRule type="cellIs" priority="581" operator="equal" dxfId="7">
      <formula>AS_DURATION_EFFORT</formula>
    </cfRule>
    <cfRule type="cellIs" priority="582" operator="equal" dxfId="6">
      <formula>AS_DEV_EFFORT</formula>
    </cfRule>
  </conditionalFormatting>
  <conditionalFormatting sqref="L62:M62 P62:AC62">
    <cfRule type="expression" priority="587" dxfId="5">
      <formula>AND($G62="Yes", $S$6="Exclude")</formula>
    </cfRule>
    <cfRule type="expression" priority="588" dxfId="4">
      <formula>$J62="Yes"</formula>
    </cfRule>
  </conditionalFormatting>
  <conditionalFormatting sqref="F62">
    <cfRule type="expression" priority="580" dxfId="3">
      <formula>$K62&lt;&gt;""</formula>
    </cfRule>
  </conditionalFormatting>
  <conditionalFormatting sqref="C62">
    <cfRule type="expression" priority="579" dxfId="2">
      <formula>$G62&lt;&gt;"-"</formula>
    </cfRule>
  </conditionalFormatting>
  <conditionalFormatting sqref="D62">
    <cfRule type="expression" priority="578" dxfId="1">
      <formula>$H62&lt;&gt;"-"</formula>
    </cfRule>
  </conditionalFormatting>
  <conditionalFormatting sqref="E62">
    <cfRule type="expression" priority="577" dxfId="0">
      <formula>$I62&lt;&gt;"-"</formula>
    </cfRule>
  </conditionalFormatting>
  <conditionalFormatting sqref="B61">
    <cfRule type="expression" priority="574" dxfId="11">
      <formula>AD61&lt;&gt;""</formula>
    </cfRule>
  </conditionalFormatting>
  <conditionalFormatting sqref="Z61">
    <cfRule type="cellIs" priority="572" operator="greaterThan" dxfId="10">
      <formula>0</formula>
    </cfRule>
    <cfRule type="cellIs" priority="573" operator="lessThan" dxfId="9">
      <formula>0</formula>
    </cfRule>
  </conditionalFormatting>
  <conditionalFormatting sqref="S61">
    <cfRule type="cellIs" priority="571" operator="lessThan" dxfId="8">
      <formula>0</formula>
    </cfRule>
  </conditionalFormatting>
  <conditionalFormatting sqref="P61">
    <cfRule type="cellIs" priority="569" operator="equal" dxfId="7">
      <formula>AS_DURATION_EFFORT</formula>
    </cfRule>
    <cfRule type="cellIs" priority="570" operator="equal" dxfId="6">
      <formula>AS_DEV_EFFORT</formula>
    </cfRule>
  </conditionalFormatting>
  <conditionalFormatting sqref="L61:M61 P61:AC61">
    <cfRule type="expression" priority="575" dxfId="5">
      <formula>AND($G61="Yes", $S$6="Exclude")</formula>
    </cfRule>
    <cfRule type="expression" priority="576" dxfId="4">
      <formula>$J61="Yes"</formula>
    </cfRule>
  </conditionalFormatting>
  <conditionalFormatting sqref="F61">
    <cfRule type="expression" priority="568" dxfId="3">
      <formula>$K61&lt;&gt;""</formula>
    </cfRule>
  </conditionalFormatting>
  <conditionalFormatting sqref="C61">
    <cfRule type="expression" priority="567" dxfId="2">
      <formula>$G61&lt;&gt;"-"</formula>
    </cfRule>
  </conditionalFormatting>
  <conditionalFormatting sqref="D61">
    <cfRule type="expression" priority="566" dxfId="1">
      <formula>$H61&lt;&gt;"-"</formula>
    </cfRule>
  </conditionalFormatting>
  <conditionalFormatting sqref="E61">
    <cfRule type="expression" priority="565" dxfId="0">
      <formula>$I61&lt;&gt;"-"</formula>
    </cfRule>
  </conditionalFormatting>
  <conditionalFormatting sqref="B60">
    <cfRule type="expression" priority="562" dxfId="11">
      <formula>AD60&lt;&gt;""</formula>
    </cfRule>
  </conditionalFormatting>
  <conditionalFormatting sqref="Z60">
    <cfRule type="cellIs" priority="560" operator="greaterThan" dxfId="10">
      <formula>0</formula>
    </cfRule>
    <cfRule type="cellIs" priority="561" operator="lessThan" dxfId="9">
      <formula>0</formula>
    </cfRule>
  </conditionalFormatting>
  <conditionalFormatting sqref="S60">
    <cfRule type="cellIs" priority="559" operator="lessThan" dxfId="8">
      <formula>0</formula>
    </cfRule>
  </conditionalFormatting>
  <conditionalFormatting sqref="P60">
    <cfRule type="cellIs" priority="557" operator="equal" dxfId="7">
      <formula>AS_DURATION_EFFORT</formula>
    </cfRule>
    <cfRule type="cellIs" priority="558" operator="equal" dxfId="6">
      <formula>AS_DEV_EFFORT</formula>
    </cfRule>
  </conditionalFormatting>
  <conditionalFormatting sqref="L60:M60 P60:AC60">
    <cfRule type="expression" priority="563" dxfId="5">
      <formula>AND($G60="Yes", $S$6="Exclude")</formula>
    </cfRule>
    <cfRule type="expression" priority="564" dxfId="4">
      <formula>$J60="Yes"</formula>
    </cfRule>
  </conditionalFormatting>
  <conditionalFormatting sqref="F60">
    <cfRule type="expression" priority="556" dxfId="3">
      <formula>$K60&lt;&gt;""</formula>
    </cfRule>
  </conditionalFormatting>
  <conditionalFormatting sqref="C60">
    <cfRule type="expression" priority="555" dxfId="2">
      <formula>$G60&lt;&gt;"-"</formula>
    </cfRule>
  </conditionalFormatting>
  <conditionalFormatting sqref="D60">
    <cfRule type="expression" priority="554" dxfId="1">
      <formula>$H60&lt;&gt;"-"</formula>
    </cfRule>
  </conditionalFormatting>
  <conditionalFormatting sqref="E60">
    <cfRule type="expression" priority="553" dxfId="0">
      <formula>$I60&lt;&gt;"-"</formula>
    </cfRule>
  </conditionalFormatting>
  <conditionalFormatting sqref="B59">
    <cfRule type="expression" priority="550" dxfId="11">
      <formula>AD59&lt;&gt;""</formula>
    </cfRule>
  </conditionalFormatting>
  <conditionalFormatting sqref="Z59">
    <cfRule type="cellIs" priority="548" operator="greaterThan" dxfId="10">
      <formula>0</formula>
    </cfRule>
    <cfRule type="cellIs" priority="549" operator="lessThan" dxfId="9">
      <formula>0</formula>
    </cfRule>
  </conditionalFormatting>
  <conditionalFormatting sqref="S59">
    <cfRule type="cellIs" priority="547" operator="lessThan" dxfId="8">
      <formula>0</formula>
    </cfRule>
  </conditionalFormatting>
  <conditionalFormatting sqref="P59">
    <cfRule type="cellIs" priority="545" operator="equal" dxfId="7">
      <formula>AS_DURATION_EFFORT</formula>
    </cfRule>
    <cfRule type="cellIs" priority="546" operator="equal" dxfId="6">
      <formula>AS_DEV_EFFORT</formula>
    </cfRule>
  </conditionalFormatting>
  <conditionalFormatting sqref="L59:M59 P59:AC59">
    <cfRule type="expression" priority="551" dxfId="5">
      <formula>AND($G59="Yes", $S$6="Exclude")</formula>
    </cfRule>
    <cfRule type="expression" priority="552" dxfId="4">
      <formula>$J59="Yes"</formula>
    </cfRule>
  </conditionalFormatting>
  <conditionalFormatting sqref="F59">
    <cfRule type="expression" priority="544" dxfId="3">
      <formula>$K59&lt;&gt;""</formula>
    </cfRule>
  </conditionalFormatting>
  <conditionalFormatting sqref="C59">
    <cfRule type="expression" priority="543" dxfId="2">
      <formula>$G59&lt;&gt;"-"</formula>
    </cfRule>
  </conditionalFormatting>
  <conditionalFormatting sqref="D59">
    <cfRule type="expression" priority="542" dxfId="1">
      <formula>$H59&lt;&gt;"-"</formula>
    </cfRule>
  </conditionalFormatting>
  <conditionalFormatting sqref="E59">
    <cfRule type="expression" priority="541" dxfId="0">
      <formula>$I59&lt;&gt;"-"</formula>
    </cfRule>
  </conditionalFormatting>
  <conditionalFormatting sqref="N58:N62">
    <cfRule type="expression" priority="539" dxfId="5">
      <formula>AND($G58="Yes", $S$6="Exclude")</formula>
    </cfRule>
    <cfRule type="expression" priority="540" dxfId="4">
      <formula>$J58="Yes"</formula>
    </cfRule>
  </conditionalFormatting>
  <conditionalFormatting sqref="O58:O62">
    <cfRule type="expression" priority="537" dxfId="5">
      <formula>AND($G58="Yes", $S$6="Exclude")</formula>
    </cfRule>
    <cfRule type="expression" priority="538" dxfId="4">
      <formula>$J58="Yes"</formula>
    </cfRule>
  </conditionalFormatting>
  <conditionalFormatting sqref="B131">
    <cfRule type="expression" priority="533" dxfId="11">
      <formula>AD131&lt;&gt;""</formula>
    </cfRule>
  </conditionalFormatting>
  <conditionalFormatting sqref="Z131">
    <cfRule type="cellIs" priority="531" operator="greaterThan" dxfId="10">
      <formula>0</formula>
    </cfRule>
    <cfRule type="cellIs" priority="532" operator="lessThan" dxfId="9">
      <formula>0</formula>
    </cfRule>
  </conditionalFormatting>
  <conditionalFormatting sqref="S131">
    <cfRule type="cellIs" priority="530" operator="lessThan" dxfId="8">
      <formula>0</formula>
    </cfRule>
  </conditionalFormatting>
  <conditionalFormatting sqref="T129:T130">
    <cfRule type="expression" priority="534" dxfId="4">
      <formula>#REF!="Yes"</formula>
    </cfRule>
  </conditionalFormatting>
  <conditionalFormatting sqref="P131">
    <cfRule type="cellIs" priority="528" operator="equal" dxfId="7">
      <formula>AS_DURATION_EFFORT</formula>
    </cfRule>
    <cfRule type="cellIs" priority="529" operator="equal" dxfId="6">
      <formula>AS_DEV_EFFORT</formula>
    </cfRule>
  </conditionalFormatting>
  <conditionalFormatting sqref="B129:B130">
    <cfRule type="expression" priority="527" dxfId="11">
      <formula>AD129&lt;&gt;""</formula>
    </cfRule>
  </conditionalFormatting>
  <conditionalFormatting sqref="F131">
    <cfRule type="expression" priority="526" dxfId="3">
      <formula>$K131&lt;&gt;""</formula>
    </cfRule>
  </conditionalFormatting>
  <conditionalFormatting sqref="C131">
    <cfRule type="expression" priority="525" dxfId="2">
      <formula>$G131&lt;&gt;"-"</formula>
    </cfRule>
  </conditionalFormatting>
  <conditionalFormatting sqref="D131">
    <cfRule type="expression" priority="524" dxfId="1">
      <formula>$H131&lt;&gt;"-"</formula>
    </cfRule>
  </conditionalFormatting>
  <conditionalFormatting sqref="E131">
    <cfRule type="expression" priority="523" dxfId="0">
      <formula>$I131&lt;&gt;"-"</formula>
    </cfRule>
  </conditionalFormatting>
  <conditionalFormatting sqref="S128">
    <cfRule type="expression" priority="522" dxfId="4">
      <formula>#REF!="Yes"</formula>
    </cfRule>
  </conditionalFormatting>
  <conditionalFormatting sqref="B128">
    <cfRule type="expression" priority="521" dxfId="11">
      <formula>AD128&lt;&gt;""</formula>
    </cfRule>
  </conditionalFormatting>
  <conditionalFormatting sqref="B132">
    <cfRule type="expression" priority="518" dxfId="11">
      <formula>AD132&lt;&gt;""</formula>
    </cfRule>
  </conditionalFormatting>
  <conditionalFormatting sqref="Z132">
    <cfRule type="cellIs" priority="516" operator="greaterThan" dxfId="10">
      <formula>0</formula>
    </cfRule>
    <cfRule type="cellIs" priority="517" operator="lessThan" dxfId="9">
      <formula>0</formula>
    </cfRule>
  </conditionalFormatting>
  <conditionalFormatting sqref="S132">
    <cfRule type="cellIs" priority="515" operator="lessThan" dxfId="8">
      <formula>0</formula>
    </cfRule>
  </conditionalFormatting>
  <conditionalFormatting sqref="P132">
    <cfRule type="cellIs" priority="513" operator="equal" dxfId="7">
      <formula>AS_DURATION_EFFORT</formula>
    </cfRule>
    <cfRule type="cellIs" priority="514" operator="equal" dxfId="6">
      <formula>AS_DEV_EFFORT</formula>
    </cfRule>
  </conditionalFormatting>
  <conditionalFormatting sqref="F132">
    <cfRule type="expression" priority="512" dxfId="3">
      <formula>$K132&lt;&gt;""</formula>
    </cfRule>
  </conditionalFormatting>
  <conditionalFormatting sqref="C132">
    <cfRule type="expression" priority="511" dxfId="2">
      <formula>$G132&lt;&gt;"-"</formula>
    </cfRule>
  </conditionalFormatting>
  <conditionalFormatting sqref="D132">
    <cfRule type="expression" priority="510" dxfId="1">
      <formula>$H132&lt;&gt;"-"</formula>
    </cfRule>
  </conditionalFormatting>
  <conditionalFormatting sqref="E132">
    <cfRule type="expression" priority="509" dxfId="0">
      <formula>$I132&lt;&gt;"-"</formula>
    </cfRule>
  </conditionalFormatting>
  <conditionalFormatting sqref="L146:AC149">
    <cfRule type="expression" priority="109" dxfId="5">
      <formula>AND($G146="Yes", $S$6="Exclude")</formula>
    </cfRule>
    <cfRule type="expression" priority="110" dxfId="4">
      <formula>$J146="Yes"</formula>
    </cfRule>
  </conditionalFormatting>
  <conditionalFormatting sqref="B146">
    <cfRule type="expression" priority="107" dxfId="11">
      <formula>AD146&lt;&gt;""</formula>
    </cfRule>
  </conditionalFormatting>
  <conditionalFormatting sqref="Z146">
    <cfRule type="cellIs" priority="105" operator="greaterThan" dxfId="10">
      <formula>0</formula>
    </cfRule>
    <cfRule type="cellIs" priority="106" operator="lessThan" dxfId="9">
      <formula>0</formula>
    </cfRule>
  </conditionalFormatting>
  <conditionalFormatting sqref="S146">
    <cfRule type="cellIs" priority="104" operator="lessThan" dxfId="8">
      <formula>0</formula>
    </cfRule>
  </conditionalFormatting>
  <conditionalFormatting sqref="T144:T145">
    <cfRule type="expression" priority="108" dxfId="4">
      <formula>#REF!="Yes"</formula>
    </cfRule>
  </conditionalFormatting>
  <conditionalFormatting sqref="P146">
    <cfRule type="cellIs" priority="102" operator="equal" dxfId="7">
      <formula>AS_DURATION_EFFORT</formula>
    </cfRule>
    <cfRule type="cellIs" priority="103" operator="equal" dxfId="6">
      <formula>AS_DEV_EFFORT</formula>
    </cfRule>
  </conditionalFormatting>
  <conditionalFormatting sqref="B144:B145">
    <cfRule type="expression" priority="101" dxfId="11">
      <formula>AD144&lt;&gt;""</formula>
    </cfRule>
  </conditionalFormatting>
  <conditionalFormatting sqref="F146">
    <cfRule type="expression" priority="100" dxfId="3">
      <formula>$K146&lt;&gt;""</formula>
    </cfRule>
  </conditionalFormatting>
  <conditionalFormatting sqref="C146">
    <cfRule type="expression" priority="99" dxfId="2">
      <formula>$G146&lt;&gt;"-"</formula>
    </cfRule>
  </conditionalFormatting>
  <conditionalFormatting sqref="D146">
    <cfRule type="expression" priority="98" dxfId="1">
      <formula>$H146&lt;&gt;"-"</formula>
    </cfRule>
  </conditionalFormatting>
  <conditionalFormatting sqref="E146">
    <cfRule type="expression" priority="97" dxfId="0">
      <formula>$I146&lt;&gt;"-"</formula>
    </cfRule>
  </conditionalFormatting>
  <conditionalFormatting sqref="B147">
    <cfRule type="expression" priority="96" dxfId="11">
      <formula>AD147&lt;&gt;""</formula>
    </cfRule>
  </conditionalFormatting>
  <conditionalFormatting sqref="Z147">
    <cfRule type="cellIs" priority="94" operator="greaterThan" dxfId="10">
      <formula>0</formula>
    </cfRule>
    <cfRule type="cellIs" priority="95" operator="lessThan" dxfId="9">
      <formula>0</formula>
    </cfRule>
  </conditionalFormatting>
  <conditionalFormatting sqref="S147">
    <cfRule type="cellIs" priority="93" operator="lessThan" dxfId="8">
      <formula>0</formula>
    </cfRule>
  </conditionalFormatting>
  <conditionalFormatting sqref="P147">
    <cfRule type="cellIs" priority="91" operator="equal" dxfId="7">
      <formula>AS_DURATION_EFFORT</formula>
    </cfRule>
    <cfRule type="cellIs" priority="92" operator="equal" dxfId="6">
      <formula>AS_DEV_EFFORT</formula>
    </cfRule>
  </conditionalFormatting>
  <conditionalFormatting sqref="F147">
    <cfRule type="expression" priority="90" dxfId="3">
      <formula>$K147&lt;&gt;""</formula>
    </cfRule>
  </conditionalFormatting>
  <conditionalFormatting sqref="C147">
    <cfRule type="expression" priority="89" dxfId="2">
      <formula>$G147&lt;&gt;"-"</formula>
    </cfRule>
  </conditionalFormatting>
  <conditionalFormatting sqref="D147">
    <cfRule type="expression" priority="88" dxfId="1">
      <formula>$H147&lt;&gt;"-"</formula>
    </cfRule>
  </conditionalFormatting>
  <conditionalFormatting sqref="E147">
    <cfRule type="expression" priority="87" dxfId="0">
      <formula>$I147&lt;&gt;"-"</formula>
    </cfRule>
  </conditionalFormatting>
  <conditionalFormatting sqref="B148">
    <cfRule type="expression" priority="86" dxfId="11">
      <formula>AD148&lt;&gt;""</formula>
    </cfRule>
  </conditionalFormatting>
  <conditionalFormatting sqref="Z148">
    <cfRule type="cellIs" priority="84" operator="greaterThan" dxfId="10">
      <formula>0</formula>
    </cfRule>
    <cfRule type="cellIs" priority="85" operator="lessThan" dxfId="9">
      <formula>0</formula>
    </cfRule>
  </conditionalFormatting>
  <conditionalFormatting sqref="S148">
    <cfRule type="cellIs" priority="83" operator="lessThan" dxfId="8">
      <formula>0</formula>
    </cfRule>
  </conditionalFormatting>
  <conditionalFormatting sqref="P148">
    <cfRule type="cellIs" priority="81" operator="equal" dxfId="7">
      <formula>AS_DURATION_EFFORT</formula>
    </cfRule>
    <cfRule type="cellIs" priority="82" operator="equal" dxfId="6">
      <formula>AS_DEV_EFFORT</formula>
    </cfRule>
  </conditionalFormatting>
  <conditionalFormatting sqref="F148">
    <cfRule type="expression" priority="80" dxfId="3">
      <formula>$K148&lt;&gt;""</formula>
    </cfRule>
  </conditionalFormatting>
  <conditionalFormatting sqref="C148">
    <cfRule type="expression" priority="79" dxfId="2">
      <formula>$G148&lt;&gt;"-"</formula>
    </cfRule>
  </conditionalFormatting>
  <conditionalFormatting sqref="D148">
    <cfRule type="expression" priority="78" dxfId="1">
      <formula>$H148&lt;&gt;"-"</formula>
    </cfRule>
  </conditionalFormatting>
  <conditionalFormatting sqref="E148">
    <cfRule type="expression" priority="77" dxfId="0">
      <formula>$I148&lt;&gt;"-"</formula>
    </cfRule>
  </conditionalFormatting>
  <conditionalFormatting sqref="B149">
    <cfRule type="expression" priority="76" dxfId="11">
      <formula>AD149&lt;&gt;""</formula>
    </cfRule>
  </conditionalFormatting>
  <conditionalFormatting sqref="Z149">
    <cfRule type="cellIs" priority="74" operator="greaterThan" dxfId="10">
      <formula>0</formula>
    </cfRule>
    <cfRule type="cellIs" priority="75" operator="lessThan" dxfId="9">
      <formula>0</formula>
    </cfRule>
  </conditionalFormatting>
  <conditionalFormatting sqref="S149">
    <cfRule type="cellIs" priority="73" operator="lessThan" dxfId="8">
      <formula>0</formula>
    </cfRule>
  </conditionalFormatting>
  <conditionalFormatting sqref="P149">
    <cfRule type="cellIs" priority="71" operator="equal" dxfId="7">
      <formula>AS_DURATION_EFFORT</formula>
    </cfRule>
    <cfRule type="cellIs" priority="72" operator="equal" dxfId="6">
      <formula>AS_DEV_EFFORT</formula>
    </cfRule>
  </conditionalFormatting>
  <conditionalFormatting sqref="F149">
    <cfRule type="expression" priority="70" dxfId="3">
      <formula>$K149&lt;&gt;""</formula>
    </cfRule>
  </conditionalFormatting>
  <conditionalFormatting sqref="C149">
    <cfRule type="expression" priority="69" dxfId="2">
      <formula>$G149&lt;&gt;"-"</formula>
    </cfRule>
  </conditionalFormatting>
  <conditionalFormatting sqref="D149">
    <cfRule type="expression" priority="68" dxfId="1">
      <formula>$H149&lt;&gt;"-"</formula>
    </cfRule>
  </conditionalFormatting>
  <conditionalFormatting sqref="E149">
    <cfRule type="expression" priority="67" dxfId="0">
      <formula>$I149&lt;&gt;"-"</formula>
    </cfRule>
  </conditionalFormatting>
  <conditionalFormatting sqref="B140">
    <cfRule type="expression" priority="63" dxfId="11">
      <formula>AD140&lt;&gt;""</formula>
    </cfRule>
  </conditionalFormatting>
  <conditionalFormatting sqref="Z140">
    <cfRule type="cellIs" priority="61" operator="greaterThan" dxfId="10">
      <formula>0</formula>
    </cfRule>
    <cfRule type="cellIs" priority="62" operator="lessThan" dxfId="9">
      <formula>0</formula>
    </cfRule>
  </conditionalFormatting>
  <conditionalFormatting sqref="S140">
    <cfRule type="cellIs" priority="60" operator="lessThan" dxfId="8">
      <formula>0</formula>
    </cfRule>
  </conditionalFormatting>
  <conditionalFormatting sqref="T138:T139">
    <cfRule type="expression" priority="64" dxfId="4">
      <formula>#REF!="Yes"</formula>
    </cfRule>
  </conditionalFormatting>
  <conditionalFormatting sqref="P140">
    <cfRule type="cellIs" priority="58" operator="equal" dxfId="7">
      <formula>AS_DURATION_EFFORT</formula>
    </cfRule>
    <cfRule type="cellIs" priority="59" operator="equal" dxfId="6">
      <formula>AS_DEV_EFFORT</formula>
    </cfRule>
  </conditionalFormatting>
  <conditionalFormatting sqref="B138:B139">
    <cfRule type="expression" priority="57" dxfId="11">
      <formula>AD138&lt;&gt;""</formula>
    </cfRule>
  </conditionalFormatting>
  <conditionalFormatting sqref="L140:M140 O140:AC140">
    <cfRule type="expression" priority="65" dxfId="5">
      <formula>AND($G140="Yes", $S$6="Exclude")</formula>
    </cfRule>
    <cfRule type="expression" priority="66" dxfId="4">
      <formula>$J140="Yes"</formula>
    </cfRule>
  </conditionalFormatting>
  <conditionalFormatting sqref="F140">
    <cfRule type="expression" priority="56" dxfId="3">
      <formula>$K140&lt;&gt;""</formula>
    </cfRule>
  </conditionalFormatting>
  <conditionalFormatting sqref="C140">
    <cfRule type="expression" priority="55" dxfId="2">
      <formula>$G140&lt;&gt;"-"</formula>
    </cfRule>
  </conditionalFormatting>
  <conditionalFormatting sqref="D140">
    <cfRule type="expression" priority="54" dxfId="1">
      <formula>$H140&lt;&gt;"-"</formula>
    </cfRule>
  </conditionalFormatting>
  <conditionalFormatting sqref="E140">
    <cfRule type="expression" priority="53" dxfId="0">
      <formula>$I140&lt;&gt;"-"</formula>
    </cfRule>
  </conditionalFormatting>
  <conditionalFormatting sqref="S137">
    <cfRule type="expression" priority="52" dxfId="4">
      <formula>#REF!="Yes"</formula>
    </cfRule>
  </conditionalFormatting>
  <conditionalFormatting sqref="B137">
    <cfRule type="expression" priority="51" dxfId="11">
      <formula>AD137&lt;&gt;""</formula>
    </cfRule>
  </conditionalFormatting>
  <conditionalFormatting sqref="B141">
    <cfRule type="expression" priority="48" dxfId="11">
      <formula>AD141&lt;&gt;""</formula>
    </cfRule>
  </conditionalFormatting>
  <conditionalFormatting sqref="Z141">
    <cfRule type="cellIs" priority="46" operator="greaterThan" dxfId="10">
      <formula>0</formula>
    </cfRule>
    <cfRule type="cellIs" priority="47" operator="lessThan" dxfId="9">
      <formula>0</formula>
    </cfRule>
  </conditionalFormatting>
  <conditionalFormatting sqref="S141">
    <cfRule type="cellIs" priority="45" operator="lessThan" dxfId="8">
      <formula>0</formula>
    </cfRule>
  </conditionalFormatting>
  <conditionalFormatting sqref="L141:M141 O141 R141:AC141">
    <cfRule type="expression" priority="49" dxfId="5">
      <formula>AND($G141="Yes", $S$6="Exclude")</formula>
    </cfRule>
    <cfRule type="expression" priority="50" dxfId="4">
      <formula>$J141="Yes"</formula>
    </cfRule>
  </conditionalFormatting>
  <conditionalFormatting sqref="F141">
    <cfRule type="expression" priority="42" dxfId="3">
      <formula>$K141&lt;&gt;""</formula>
    </cfRule>
  </conditionalFormatting>
  <conditionalFormatting sqref="C141">
    <cfRule type="expression" priority="41" dxfId="2">
      <formula>$G141&lt;&gt;"-"</formula>
    </cfRule>
  </conditionalFormatting>
  <conditionalFormatting sqref="D141">
    <cfRule type="expression" priority="40" dxfId="1">
      <formula>$H141&lt;&gt;"-"</formula>
    </cfRule>
  </conditionalFormatting>
  <conditionalFormatting sqref="E141">
    <cfRule type="expression" priority="39" dxfId="0">
      <formula>$I141&lt;&gt;"-"</formula>
    </cfRule>
  </conditionalFormatting>
  <conditionalFormatting sqref="N140:N141">
    <cfRule type="expression" priority="37" dxfId="5">
      <formula>AND($G140="Yes", $S$6="Exclude")</formula>
    </cfRule>
    <cfRule type="expression" priority="38" dxfId="4">
      <formula>$J140="Yes"</formula>
    </cfRule>
  </conditionalFormatting>
  <conditionalFormatting sqref="P141:Q141">
    <cfRule type="expression" priority="35" dxfId="5">
      <formula>AND($G141="Yes", $S$6="Exclude")</formula>
    </cfRule>
    <cfRule type="expression" priority="36" dxfId="4">
      <formula>$J141="Yes"</formula>
    </cfRule>
  </conditionalFormatting>
  <conditionalFormatting sqref="P141">
    <cfRule type="cellIs" priority="33" operator="equal" dxfId="7">
      <formula>AS_DURATION_EFFORT</formula>
    </cfRule>
    <cfRule type="cellIs" priority="34" operator="equal" dxfId="6">
      <formula>AS_DEV_EFFORT</formula>
    </cfRule>
  </conditionalFormatting>
  <conditionalFormatting sqref="S143">
    <cfRule type="expression" priority="32" dxfId="4">
      <formula>#REF!="Yes"</formula>
    </cfRule>
  </conditionalFormatting>
  <conditionalFormatting sqref="B143">
    <cfRule type="expression" priority="31" dxfId="11">
      <formula>AD143&lt;&gt;""</formula>
    </cfRule>
  </conditionalFormatting>
  <conditionalFormatting sqref="O154:Q154">
    <cfRule type="expression" priority="29" dxfId="5">
      <formula>AND($G154="Yes", $S$6="Exclude")</formula>
    </cfRule>
    <cfRule type="expression" priority="30" dxfId="4">
      <formula>$J154="Yes"</formula>
    </cfRule>
  </conditionalFormatting>
  <conditionalFormatting sqref="P154">
    <cfRule type="cellIs" priority="27" operator="equal" dxfId="7">
      <formula>AS_DURATION_EFFORT</formula>
    </cfRule>
    <cfRule type="cellIs" priority="28" operator="equal" dxfId="6">
      <formula>AS_DEV_EFFORT</formula>
    </cfRule>
  </conditionalFormatting>
  <conditionalFormatting sqref="AB159">
    <cfRule type="expression" priority="25" dxfId="5">
      <formula>AND($G159="Yes", $S$6="Exclude")</formula>
    </cfRule>
    <cfRule type="expression" priority="26" dxfId="4">
      <formula>$J159="Yes"</formula>
    </cfRule>
  </conditionalFormatting>
  <conditionalFormatting sqref="B169">
    <cfRule type="expression" priority="22" dxfId="11">
      <formula>AD169&lt;&gt;""</formula>
    </cfRule>
  </conditionalFormatting>
  <conditionalFormatting sqref="Z169">
    <cfRule type="cellIs" priority="20" operator="greaterThan" dxfId="10">
      <formula>0</formula>
    </cfRule>
    <cfRule type="cellIs" priority="21" operator="lessThan" dxfId="9">
      <formula>0</formula>
    </cfRule>
  </conditionalFormatting>
  <conditionalFormatting sqref="S169">
    <cfRule type="cellIs" priority="19" operator="lessThan" dxfId="8">
      <formula>0</formula>
    </cfRule>
  </conditionalFormatting>
  <conditionalFormatting sqref="P169">
    <cfRule type="cellIs" priority="17" operator="equal" dxfId="7">
      <formula>AS_DURATION_EFFORT</formula>
    </cfRule>
    <cfRule type="cellIs" priority="18" operator="equal" dxfId="6">
      <formula>AS_DEV_EFFORT</formula>
    </cfRule>
  </conditionalFormatting>
  <conditionalFormatting sqref="L169:AC169">
    <cfRule type="expression" priority="23" dxfId="5">
      <formula>AND($G169="Yes", $S$6="Exclude")</formula>
    </cfRule>
    <cfRule type="expression" priority="24" dxfId="4">
      <formula>$J169="Yes"</formula>
    </cfRule>
  </conditionalFormatting>
  <conditionalFormatting sqref="F169">
    <cfRule type="expression" priority="16" dxfId="3">
      <formula>$K169&lt;&gt;""</formula>
    </cfRule>
  </conditionalFormatting>
  <conditionalFormatting sqref="C169">
    <cfRule type="expression" priority="15" dxfId="2">
      <formula>$G169&lt;&gt;"-"</formula>
    </cfRule>
  </conditionalFormatting>
  <conditionalFormatting sqref="D169">
    <cfRule type="expression" priority="14" dxfId="1">
      <formula>$H169&lt;&gt;"-"</formula>
    </cfRule>
  </conditionalFormatting>
  <conditionalFormatting sqref="E169">
    <cfRule type="expression" priority="13" dxfId="0">
      <formula>$I169&lt;&gt;"-"</formula>
    </cfRule>
  </conditionalFormatting>
  <conditionalFormatting sqref="B170">
    <cfRule type="expression" priority="10" dxfId="11">
      <formula>AD170&lt;&gt;""</formula>
    </cfRule>
  </conditionalFormatting>
  <conditionalFormatting sqref="Z170">
    <cfRule type="cellIs" priority="8" operator="greaterThan" dxfId="10">
      <formula>0</formula>
    </cfRule>
    <cfRule type="cellIs" priority="9" operator="lessThan" dxfId="9">
      <formula>0</formula>
    </cfRule>
  </conditionalFormatting>
  <conditionalFormatting sqref="S170">
    <cfRule type="cellIs" priority="7" operator="lessThan" dxfId="8">
      <formula>0</formula>
    </cfRule>
  </conditionalFormatting>
  <conditionalFormatting sqref="P170">
    <cfRule type="cellIs" priority="5" operator="equal" dxfId="7">
      <formula>AS_DURATION_EFFORT</formula>
    </cfRule>
    <cfRule type="cellIs" priority="6" operator="equal" dxfId="6">
      <formula>AS_DEV_EFFORT</formula>
    </cfRule>
  </conditionalFormatting>
  <conditionalFormatting sqref="L170:AC170">
    <cfRule type="expression" priority="11" dxfId="5">
      <formula>AND($G170="Yes", $S$6="Exclude")</formula>
    </cfRule>
    <cfRule type="expression" priority="12" dxfId="4">
      <formula>$J170="Yes"</formula>
    </cfRule>
  </conditionalFormatting>
  <conditionalFormatting sqref="F170">
    <cfRule type="expression" priority="4" dxfId="3">
      <formula>$K170&lt;&gt;""</formula>
    </cfRule>
  </conditionalFormatting>
  <conditionalFormatting sqref="C170">
    <cfRule type="expression" priority="3" dxfId="2">
      <formula>$G170&lt;&gt;"-"</formula>
    </cfRule>
  </conditionalFormatting>
  <conditionalFormatting sqref="D170">
    <cfRule type="expression" priority="2" dxfId="1">
      <formula>$H170&lt;&gt;"-"</formula>
    </cfRule>
  </conditionalFormatting>
  <conditionalFormatting sqref="E170">
    <cfRule type="expression" priority="1" dxfId="0">
      <formula>$I170&lt;&gt;"-"</formula>
    </cfRule>
  </conditionalFormatting>
  <dataValidations count="11">
    <dataValidation sqref="S5" showDropDown="0" showInputMessage="1" showErrorMessage="1" allowBlank="1" type="list">
      <formula1>SALES_CALL_SCALE_LIST</formula1>
    </dataValidation>
    <dataValidation sqref="S6" showDropDown="0" showInputMessage="1" showErrorMessage="1" allowBlank="1" type="list">
      <formula1>INCLUDE_OPTIONALS_LIST</formula1>
    </dataValidation>
    <dataValidation sqref="O258" showDropDown="0" showInputMessage="1" showErrorMessage="1" allowBlank="1" type="list">
      <formula1>YES_NO_LIST</formula1>
    </dataValidation>
    <dataValidation sqref="O255" showDropDown="0" showInputMessage="1" showErrorMessage="1" allowBlank="1" type="list">
      <formula1>PLATFORMS_LIST</formula1>
    </dataValidation>
    <dataValidation sqref="O256" showDropDown="0" showInputMessage="1" showErrorMessage="1" allowBlank="1" type="list">
      <formula1>PROJECT_TYPES_LIST</formula1>
    </dataValidation>
    <dataValidation sqref="O260" showDropDown="0" showInputMessage="1" showErrorMessage="1" allowBlank="1" type="list">
      <formula1>CURRENCIES_LIST</formula1>
    </dataValidation>
    <dataValidation sqref="O259" showDropDown="0" showInputMessage="1" showErrorMessage="1" allowBlank="1" type="list">
      <formula1>REGIONS_LIST</formula1>
    </dataValidation>
    <dataValidation sqref="G16:G18 G22:G24 G28:G31 G35:G39 G43:G45 G49:G54 G58:G62 G69:G70 G74 G78:G81 G85:G92 G99:G102 G106:G110 G115:G116 G121:G122 G126 G131:G132 G140:G141 G146:G149 G153:G154 G158:G161 G165:G170 G177:G178 G182 G186 G190:G193 G200 G376 J16:J18 J22:J24 J28:J31 J35:J39 J43:J45 J49:J54 J58:J62 J69:J70 J74 J78:J81 J85:J92 J99:J102 J106:J110 J115:J116 J121:J122 J126 J131:J132 J140:J141 J146:J149 J153:J154 J158:J161 J165:J170 J177:J178 J182 J186 J190:J193 J200 J376" showDropDown="0" showInputMessage="1" showErrorMessage="1" allowBlank="0" type="list">
      <formula1>YES_NO_LIST</formula1>
    </dataValidation>
    <dataValidation sqref="I16:I18 I22:I24 I28:I31 I35:I39 I43:I45 I49:I54 I58:I62 I69:I70 I74 I78:I81 I85:I92 I99:I102 I106:I110 I115:I116 I121:I122 I126 I131:I132 I140:I141 I146:I149 I153:I154 I158:I161 I165:I170 I177:I178 I182 I186 I190:I193 I200 I376" showDropDown="0" showInputMessage="1" showErrorMessage="1" allowBlank="0" type="list">
      <formula1>EXTRAS_LIST</formula1>
    </dataValidation>
    <dataValidation sqref="H16:H18 H22:H24 H28:H31 H35:H39 H43:H45 H49:H54 H58:H62 H69:H70 H74 H78:H81 H85:H92 H99:H102 H106:H110 H115:H116 H121:H122 H126 H131:H132 H140:H141 H146:H149 H153:H154 H158:H161 H165:H170 H177:H178 H182 H186 H190:H193 H200 H376" showDropDown="0" showInputMessage="1" showErrorMessage="1" allowBlank="0" type="list">
      <formula1>BUFFER_TYPES_LIST</formula1>
    </dataValidation>
    <dataValidation sqref="S210" showDropDown="0" showInputMessage="1" showErrorMessage="1" allowBlank="0" type="list">
      <formula1>"Default, Extended"</formula1>
    </dataValidation>
  </dataValidations>
  <hyperlinks>
    <hyperlink ref="S9" location="Estimation!V9" tooltip="Copy compact view of WBS as image" display="Compact"/>
    <hyperlink ref="T9" location="Estimation!U9" tooltip="Copy full WBS content as image" display="Full"/>
    <hyperlink ref="AB9" location="Help!A1" tooltip="Know what, how and why around most frequently asked questions." display="Read Help for more details."/>
    <hyperlink ref="C10" location="Estimation!C10" tooltip="Open" display="→"/>
    <hyperlink ref="C11" location="Estimation!C11" tooltip="Close" display="←"/>
    <hyperlink ref="C12" location="Estimation!C12" tooltip="Collapse All" display="−"/>
    <hyperlink ref="F12" location="Estimation!F12" tooltip="Expand All" display="Estimation!F12"/>
    <hyperlink ref="T210" location="Estimation!T71" tooltip="Refresh FBS" display="here"/>
    <hyperlink ref="T246" location="Schedule!A1" display="click here."/>
  </hyperlinks>
  <pageMargins left="0.7" right="0.7" top="0.75" bottom="0.75" header="0.3" footer="0.3"/>
  <pageSetup orientation="landscape" scale="58" horizontalDpi="4294967295" verticalDpi="4294967295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B1:AL19"/>
  <sheetViews>
    <sheetView zoomScaleNormal="100" workbookViewId="0">
      <selection activeCell="M19" sqref="M19"/>
    </sheetView>
  </sheetViews>
  <sheetFormatPr baseColWidth="8" defaultColWidth="3.81640625" defaultRowHeight="14.5"/>
  <cols>
    <col width="38.453125" customWidth="1" style="232" min="2" max="2"/>
    <col width="3.81640625" customWidth="1" style="232" min="3" max="4"/>
  </cols>
  <sheetData>
    <row r="1" ht="15" customHeight="1" s="232">
      <c r="B1" s="70" t="inlineStr">
        <is>
          <t>Start Date</t>
        </is>
      </c>
      <c r="C1" s="339">
        <f>START_DATE</f>
        <v/>
      </c>
      <c r="I1" s="1" t="inlineStr">
        <is>
          <t>End Date</t>
        </is>
      </c>
      <c r="L1" s="340" t="n">
        <v>41583</v>
      </c>
      <c r="R1" s="134" t="n"/>
      <c r="S1" s="134" t="n"/>
      <c r="T1" s="134" t="n"/>
      <c r="U1" s="134" t="n"/>
      <c r="V1" s="134" t="n"/>
      <c r="W1" s="134" t="n"/>
      <c r="X1" s="134" t="n"/>
      <c r="Y1" s="134" t="n"/>
      <c r="Z1" s="134" t="n"/>
      <c r="AA1" s="134" t="n"/>
      <c r="AB1" s="134" t="n"/>
      <c r="AC1" s="134" t="n"/>
      <c r="AD1" s="134" t="n"/>
      <c r="AE1" s="134" t="n"/>
      <c r="AF1" s="134" t="n"/>
      <c r="AG1" s="134" t="n"/>
      <c r="AH1" s="134" t="n"/>
      <c r="AI1" s="134" t="n"/>
      <c r="AJ1" s="134" t="n"/>
    </row>
    <row r="2">
      <c r="B2" s="135" t="inlineStr">
        <is>
          <t>NOTE:</t>
        </is>
      </c>
      <c r="C2" s="136" t="inlineStr">
        <is>
          <t>Manually build the execution plan below using given template or otherwise and type in the final end date above.</t>
        </is>
      </c>
      <c r="Q2" s="134" t="n"/>
      <c r="R2" s="134" t="n"/>
      <c r="S2" s="134" t="n"/>
      <c r="T2" s="134" t="n"/>
      <c r="U2" s="134" t="n"/>
      <c r="V2" s="134" t="n"/>
      <c r="W2" s="134" t="n"/>
      <c r="X2" s="134" t="n"/>
      <c r="Y2" s="134" t="n"/>
      <c r="Z2" s="134" t="n"/>
      <c r="AA2" s="134" t="n"/>
      <c r="AB2" s="134" t="n"/>
      <c r="AC2" s="134" t="n"/>
      <c r="AD2" s="134" t="n"/>
      <c r="AE2" s="134" t="n"/>
      <c r="AF2" s="134" t="n"/>
      <c r="AG2" s="134" t="n"/>
      <c r="AH2" s="134" t="n"/>
      <c r="AI2" s="134" t="n"/>
      <c r="AJ2" s="134" t="n"/>
    </row>
    <row r="3">
      <c r="B3" s="70" t="inlineStr">
        <is>
          <t>Months</t>
        </is>
      </c>
      <c r="C3" s="381" t="n">
        <v>1</v>
      </c>
      <c r="F3" s="350" t="n"/>
      <c r="G3" s="337">
        <f>C3+1</f>
        <v/>
      </c>
      <c r="K3" s="337">
        <f>G3+1</f>
        <v/>
      </c>
      <c r="O3" s="337">
        <f>K3+1</f>
        <v/>
      </c>
      <c r="S3" s="337">
        <f>O3+1</f>
        <v/>
      </c>
      <c r="W3" s="337">
        <f>S3+1</f>
        <v/>
      </c>
      <c r="AA3" s="337">
        <f>W3+1</f>
        <v/>
      </c>
      <c r="AE3" s="337">
        <f>AA3+1</f>
        <v/>
      </c>
      <c r="AI3" s="337">
        <f>AE3+1</f>
        <v/>
      </c>
    </row>
    <row r="4" ht="45.75" customHeight="1" s="232">
      <c r="B4" s="71" t="inlineStr">
        <is>
          <t>Weeks</t>
        </is>
      </c>
      <c r="C4" s="382">
        <f>START_DATE</f>
        <v/>
      </c>
      <c r="D4" s="383">
        <f>WORKDAY(C4,5)</f>
        <v/>
      </c>
      <c r="E4" s="383">
        <f>WORKDAY(D4,5)</f>
        <v/>
      </c>
      <c r="F4" s="384">
        <f>WORKDAY(E4,5)</f>
        <v/>
      </c>
      <c r="G4" s="382">
        <f>WORKDAY(F4,5)</f>
        <v/>
      </c>
      <c r="H4" s="383">
        <f>WORKDAY(G4,5)</f>
        <v/>
      </c>
      <c r="I4" s="383">
        <f>WORKDAY(H4,5)</f>
        <v/>
      </c>
      <c r="J4" s="383">
        <f>WORKDAY(I4,5)</f>
        <v/>
      </c>
      <c r="K4" s="382">
        <f>WORKDAY(J4,5)</f>
        <v/>
      </c>
      <c r="L4" s="383">
        <f>WORKDAY(K4,5)</f>
        <v/>
      </c>
      <c r="M4" s="383">
        <f>WORKDAY(L4,5)</f>
        <v/>
      </c>
      <c r="N4" s="383">
        <f>WORKDAY(M4,5)</f>
        <v/>
      </c>
      <c r="O4" s="382">
        <f>WORKDAY(N4,5)</f>
        <v/>
      </c>
      <c r="P4" s="383">
        <f>WORKDAY(O4,5)</f>
        <v/>
      </c>
      <c r="Q4" s="383">
        <f>WORKDAY(P4,5)</f>
        <v/>
      </c>
      <c r="R4" s="383">
        <f>WORKDAY(Q4,5)</f>
        <v/>
      </c>
      <c r="S4" s="382">
        <f>WORKDAY(R4,5)</f>
        <v/>
      </c>
      <c r="T4" s="383">
        <f>WORKDAY(S4,5)</f>
        <v/>
      </c>
      <c r="U4" s="383">
        <f>WORKDAY(T4,5)</f>
        <v/>
      </c>
      <c r="V4" s="383">
        <f>WORKDAY(U4,5)</f>
        <v/>
      </c>
      <c r="W4" s="382">
        <f>WORKDAY(V4,5)</f>
        <v/>
      </c>
      <c r="X4" s="383">
        <f>WORKDAY(W4,5)</f>
        <v/>
      </c>
      <c r="Y4" s="383">
        <f>WORKDAY(X4,5)</f>
        <v/>
      </c>
      <c r="Z4" s="383">
        <f>WORKDAY(Y4,5)</f>
        <v/>
      </c>
      <c r="AA4" s="382">
        <f>WORKDAY(Z4,5)</f>
        <v/>
      </c>
      <c r="AB4" s="383">
        <f>WORKDAY(AA4,5)</f>
        <v/>
      </c>
      <c r="AC4" s="383">
        <f>WORKDAY(AB4,5)</f>
        <v/>
      </c>
      <c r="AD4" s="383">
        <f>WORKDAY(AC4,5)</f>
        <v/>
      </c>
      <c r="AE4" s="382">
        <f>WORKDAY(AD4,5)</f>
        <v/>
      </c>
      <c r="AF4" s="383">
        <f>WORKDAY(AE4,5)</f>
        <v/>
      </c>
      <c r="AG4" s="383">
        <f>WORKDAY(AF4,5)</f>
        <v/>
      </c>
      <c r="AH4" s="383">
        <f>WORKDAY(AG4,5)</f>
        <v/>
      </c>
      <c r="AI4" s="382">
        <f>WORKDAY(AH4,5)</f>
        <v/>
      </c>
      <c r="AJ4" s="383">
        <f>WORKDAY(AI4,5)</f>
        <v/>
      </c>
      <c r="AK4" s="383">
        <f>WORKDAY(AJ4,5)</f>
        <v/>
      </c>
      <c r="AL4" s="383">
        <f>WORKDAY(AK4,5)</f>
        <v/>
      </c>
    </row>
    <row r="5">
      <c r="B5" s="127" t="inlineStr">
        <is>
          <t>Phases</t>
        </is>
      </c>
      <c r="C5" s="126" t="n"/>
      <c r="D5" s="126" t="n"/>
      <c r="E5" s="126" t="n"/>
      <c r="F5" s="126" t="n"/>
      <c r="G5" s="126" t="n"/>
      <c r="H5" s="126" t="n"/>
      <c r="I5" s="126" t="n"/>
      <c r="J5" s="126" t="n"/>
      <c r="K5" s="126" t="n"/>
      <c r="L5" s="126" t="n"/>
      <c r="M5" s="126" t="n"/>
      <c r="N5" s="126" t="n"/>
      <c r="O5" s="126" t="n"/>
      <c r="P5" s="126" t="n"/>
      <c r="Q5" s="126" t="n"/>
      <c r="R5" s="126" t="n"/>
      <c r="S5" s="126" t="n"/>
      <c r="T5" s="126" t="n"/>
      <c r="U5" s="126" t="n"/>
      <c r="V5" s="126" t="n"/>
      <c r="W5" s="126" t="n"/>
      <c r="X5" s="126" t="n"/>
      <c r="Y5" s="126" t="n"/>
      <c r="Z5" s="126" t="n"/>
      <c r="AA5" s="126" t="n"/>
      <c r="AB5" s="126" t="n"/>
      <c r="AC5" s="126" t="n"/>
      <c r="AD5" s="126" t="n"/>
      <c r="AE5" s="126" t="n"/>
      <c r="AF5" s="126" t="n"/>
      <c r="AG5" s="126" t="n"/>
      <c r="AH5" s="126" t="n"/>
      <c r="AI5" s="126" t="n"/>
      <c r="AJ5" s="126" t="n"/>
      <c r="AK5" s="126" t="n"/>
      <c r="AL5" s="126" t="n"/>
    </row>
    <row r="6">
      <c r="B6" s="125">
        <f>Estimation!N237</f>
        <v/>
      </c>
      <c r="C6" s="129" t="n"/>
      <c r="D6" s="129" t="n"/>
      <c r="E6" s="129" t="n"/>
    </row>
    <row r="7">
      <c r="B7" s="125">
        <f>Estimation!N238</f>
        <v/>
      </c>
      <c r="E7" s="130" t="n"/>
      <c r="F7" s="130" t="n"/>
      <c r="G7" s="130" t="n"/>
      <c r="H7" s="130" t="n"/>
      <c r="I7" s="130" t="n"/>
    </row>
    <row r="8">
      <c r="B8" s="125">
        <f>Estimation!N239</f>
        <v/>
      </c>
      <c r="H8" s="131" t="n"/>
      <c r="I8" s="131" t="n"/>
      <c r="J8" s="131" t="n"/>
      <c r="K8" s="131" t="n"/>
      <c r="L8" s="131" t="n"/>
      <c r="M8" s="131" t="n"/>
      <c r="N8" s="131" t="n"/>
      <c r="O8" s="131" t="n"/>
      <c r="P8" s="131" t="n"/>
      <c r="Q8" s="131" t="n"/>
      <c r="R8" s="131" t="n"/>
      <c r="S8" s="131" t="n"/>
      <c r="T8" s="131" t="n"/>
    </row>
    <row r="9">
      <c r="B9" s="125">
        <f>Estimation!N240</f>
        <v/>
      </c>
      <c r="Q9" s="132" t="n"/>
      <c r="R9" s="132" t="n"/>
      <c r="S9" s="132" t="n"/>
      <c r="T9" s="132" t="n"/>
      <c r="U9" s="132" t="n"/>
      <c r="V9" s="132" t="n"/>
      <c r="W9" s="132" t="n"/>
      <c r="X9" s="132" t="n"/>
    </row>
    <row r="10">
      <c r="B10" s="125">
        <f>Estimation!N241</f>
        <v/>
      </c>
      <c r="W10" s="133" t="n"/>
      <c r="X10" s="133" t="n"/>
      <c r="Y10" s="133" t="n"/>
      <c r="Z10" s="133" t="n"/>
      <c r="AA10" s="133" t="n"/>
    </row>
    <row r="11">
      <c r="B11" s="125">
        <f>Estimation!N242</f>
        <v/>
      </c>
      <c r="AA11" s="99" t="n"/>
      <c r="AB11" s="99" t="n"/>
    </row>
    <row r="12">
      <c r="B12" s="127" t="inlineStr">
        <is>
          <t>Resources</t>
        </is>
      </c>
      <c r="C12" s="126" t="n"/>
      <c r="D12" s="126" t="n"/>
      <c r="E12" s="126" t="n"/>
      <c r="F12" s="126" t="n"/>
      <c r="G12" s="126" t="n"/>
      <c r="H12" s="126" t="n"/>
      <c r="I12" s="126" t="n"/>
      <c r="J12" s="126" t="n"/>
      <c r="K12" s="126" t="n"/>
      <c r="L12" s="126" t="n"/>
      <c r="M12" s="126" t="n"/>
      <c r="N12" s="126" t="n"/>
      <c r="O12" s="126" t="n"/>
      <c r="P12" s="126" t="n"/>
      <c r="Q12" s="126" t="n"/>
      <c r="R12" s="126" t="n"/>
      <c r="S12" s="126" t="n"/>
      <c r="T12" s="126" t="n"/>
      <c r="U12" s="126" t="n"/>
      <c r="V12" s="126" t="n"/>
      <c r="W12" s="126" t="n"/>
      <c r="X12" s="126" t="n"/>
      <c r="Y12" s="126" t="n"/>
      <c r="Z12" s="126" t="n"/>
      <c r="AA12" s="126" t="n"/>
      <c r="AB12" s="126" t="n"/>
      <c r="AC12" s="126" t="n"/>
      <c r="AD12" s="126" t="n"/>
      <c r="AE12" s="126" t="n"/>
      <c r="AF12" s="126" t="n"/>
      <c r="AG12" s="126" t="n"/>
      <c r="AH12" s="126" t="n"/>
      <c r="AI12" s="126" t="n"/>
      <c r="AJ12" s="126" t="n"/>
      <c r="AK12" s="126" t="n"/>
      <c r="AL12" s="126" t="n"/>
    </row>
    <row r="13">
      <c r="B13" s="125" t="inlineStr">
        <is>
          <t>BA</t>
        </is>
      </c>
      <c r="C13" s="385" t="n">
        <v>1</v>
      </c>
      <c r="D13" s="385" t="n"/>
      <c r="E13" s="385" t="n"/>
      <c r="F13" s="385" t="n"/>
      <c r="G13" s="385" t="n"/>
      <c r="H13" s="385" t="n"/>
      <c r="I13" s="385" t="n"/>
      <c r="J13" s="385" t="n"/>
      <c r="K13" s="385" t="n"/>
      <c r="L13" s="385" t="n"/>
      <c r="M13" s="385" t="n"/>
      <c r="N13" s="385" t="n"/>
      <c r="O13" s="385" t="n"/>
      <c r="P13" s="385" t="n"/>
      <c r="Q13" s="385" t="n"/>
      <c r="R13" s="385" t="n"/>
      <c r="S13" s="385" t="n"/>
      <c r="T13" s="385" t="n"/>
      <c r="U13" s="385" t="n"/>
      <c r="V13" s="385" t="n"/>
      <c r="W13" s="385" t="n"/>
      <c r="X13" s="385" t="n"/>
      <c r="Y13" s="385" t="n"/>
      <c r="Z13" s="385" t="n"/>
      <c r="AA13" s="385" t="n"/>
      <c r="AB13" s="385" t="n"/>
      <c r="AC13" s="385" t="n"/>
      <c r="AD13" s="385" t="n"/>
      <c r="AE13" s="385" t="n"/>
      <c r="AF13" s="385" t="n"/>
      <c r="AG13" s="385" t="n"/>
      <c r="AH13" s="385" t="n"/>
      <c r="AI13" s="385" t="n"/>
      <c r="AJ13" s="385" t="n"/>
      <c r="AK13" s="385" t="n"/>
      <c r="AL13" s="385" t="n"/>
    </row>
    <row r="14">
      <c r="B14" s="125" t="inlineStr">
        <is>
          <t>TA</t>
        </is>
      </c>
      <c r="C14" s="385" t="n"/>
      <c r="D14" s="385" t="n">
        <v>1</v>
      </c>
      <c r="E14" s="385" t="n">
        <v>1</v>
      </c>
      <c r="F14" s="385" t="n">
        <v>1</v>
      </c>
      <c r="G14" s="385" t="n">
        <v>1</v>
      </c>
      <c r="H14" s="385" t="n">
        <v>1</v>
      </c>
      <c r="I14" s="385" t="n">
        <v>1</v>
      </c>
      <c r="J14" s="385" t="n"/>
      <c r="K14" s="385" t="n"/>
      <c r="L14" s="385" t="n"/>
      <c r="M14" s="385" t="n"/>
      <c r="N14" s="385" t="n"/>
      <c r="O14" s="385" t="n"/>
      <c r="P14" s="385" t="n"/>
      <c r="Q14" s="385" t="n"/>
      <c r="R14" s="385" t="n"/>
      <c r="S14" s="385" t="n"/>
      <c r="T14" s="385" t="n"/>
      <c r="U14" s="385" t="n"/>
      <c r="V14" s="385" t="n"/>
      <c r="W14" s="385" t="n"/>
      <c r="X14" s="385" t="n"/>
      <c r="Y14" s="385" t="n"/>
      <c r="Z14" s="385" t="n"/>
      <c r="AA14" s="385" t="n"/>
      <c r="AB14" s="385" t="n"/>
      <c r="AC14" s="385" t="n"/>
      <c r="AD14" s="385" t="n"/>
      <c r="AE14" s="385" t="n"/>
      <c r="AF14" s="385" t="n"/>
      <c r="AG14" s="385" t="n"/>
      <c r="AH14" s="385" t="n"/>
      <c r="AI14" s="385" t="n"/>
      <c r="AJ14" s="385" t="n"/>
      <c r="AK14" s="385" t="n"/>
      <c r="AL14" s="385" t="n"/>
    </row>
    <row r="15">
      <c r="B15" s="125" t="inlineStr">
        <is>
          <t>TL</t>
        </is>
      </c>
      <c r="C15" s="385" t="n"/>
      <c r="D15" s="385" t="n"/>
      <c r="E15" s="385" t="n">
        <v>1</v>
      </c>
      <c r="F15" s="385" t="n">
        <v>1</v>
      </c>
      <c r="G15" s="385" t="n">
        <v>1</v>
      </c>
      <c r="H15" s="385" t="n">
        <v>1</v>
      </c>
      <c r="I15" s="385" t="n">
        <v>1</v>
      </c>
      <c r="J15" s="385" t="n">
        <v>1</v>
      </c>
      <c r="K15" s="385" t="n">
        <v>1</v>
      </c>
      <c r="L15" s="385" t="n">
        <v>1</v>
      </c>
      <c r="M15" s="385" t="n">
        <v>1</v>
      </c>
      <c r="N15" s="385" t="n">
        <v>1</v>
      </c>
      <c r="O15" s="385" t="n">
        <v>1</v>
      </c>
      <c r="P15" s="385" t="n">
        <v>1</v>
      </c>
      <c r="Q15" s="385" t="n">
        <v>1</v>
      </c>
      <c r="R15" s="385" t="n">
        <v>1</v>
      </c>
      <c r="S15" s="385" t="n">
        <v>1</v>
      </c>
      <c r="T15" s="385" t="n">
        <v>1</v>
      </c>
      <c r="U15" s="385" t="n">
        <v>1</v>
      </c>
      <c r="V15" s="385" t="n">
        <v>1</v>
      </c>
      <c r="W15" s="385" t="n">
        <v>1</v>
      </c>
      <c r="X15" s="385" t="n">
        <v>1</v>
      </c>
      <c r="Y15" s="385" t="n">
        <v>1</v>
      </c>
      <c r="Z15" s="385" t="n">
        <v>1</v>
      </c>
      <c r="AA15" s="385" t="n">
        <v>1</v>
      </c>
      <c r="AB15" s="385" t="n">
        <v>1</v>
      </c>
      <c r="AC15" s="385" t="n"/>
      <c r="AD15" s="385" t="n"/>
      <c r="AE15" s="385" t="n"/>
      <c r="AF15" s="385" t="n"/>
      <c r="AG15" s="385" t="n"/>
      <c r="AH15" s="385" t="n"/>
      <c r="AI15" s="385" t="n"/>
      <c r="AJ15" s="385" t="n"/>
      <c r="AK15" s="385" t="n"/>
      <c r="AL15" s="385" t="n"/>
    </row>
    <row r="16">
      <c r="B16" s="125" t="inlineStr">
        <is>
          <t>DEV</t>
        </is>
      </c>
      <c r="C16" s="385" t="n"/>
      <c r="D16" s="385" t="n"/>
      <c r="E16" s="385" t="n"/>
      <c r="F16" s="385" t="n"/>
      <c r="G16" s="385" t="n"/>
      <c r="H16" s="385" t="n">
        <v>2</v>
      </c>
      <c r="I16" s="385" t="n">
        <v>2</v>
      </c>
      <c r="J16" s="385" t="n">
        <v>2</v>
      </c>
      <c r="K16" s="385" t="n">
        <v>2</v>
      </c>
      <c r="L16" s="385" t="n">
        <v>2</v>
      </c>
      <c r="M16" s="385" t="n">
        <v>2</v>
      </c>
      <c r="N16" s="385" t="n">
        <v>2</v>
      </c>
      <c r="O16" s="385" t="n">
        <v>2</v>
      </c>
      <c r="P16" s="385" t="n">
        <v>2</v>
      </c>
      <c r="Q16" s="385" t="n">
        <v>2</v>
      </c>
      <c r="R16" s="385" t="n">
        <v>2</v>
      </c>
      <c r="S16" s="385" t="n">
        <v>2</v>
      </c>
      <c r="T16" s="385" t="n">
        <v>2</v>
      </c>
      <c r="U16" s="385" t="n">
        <v>2</v>
      </c>
      <c r="V16" s="385" t="n">
        <v>2</v>
      </c>
      <c r="W16" s="385" t="n">
        <v>2</v>
      </c>
      <c r="X16" s="385" t="n">
        <v>2</v>
      </c>
      <c r="Y16" s="385" t="n">
        <v>2</v>
      </c>
      <c r="Z16" s="385" t="n">
        <v>2</v>
      </c>
      <c r="AA16" s="385" t="n">
        <v>2</v>
      </c>
      <c r="AB16" s="385" t="n">
        <v>2</v>
      </c>
      <c r="AC16" s="385" t="n"/>
      <c r="AD16" s="385" t="n"/>
      <c r="AE16" s="385" t="n"/>
      <c r="AF16" s="385" t="n"/>
      <c r="AG16" s="385" t="n"/>
      <c r="AH16" s="385" t="n"/>
      <c r="AI16" s="385" t="n"/>
      <c r="AJ16" s="385" t="n"/>
      <c r="AK16" s="385" t="n"/>
      <c r="AL16" s="385" t="n"/>
    </row>
    <row r="17">
      <c r="B17" s="125" t="inlineStr">
        <is>
          <t>QA</t>
        </is>
      </c>
      <c r="C17" s="385" t="n"/>
      <c r="D17" s="385" t="n"/>
      <c r="E17" s="385" t="n"/>
      <c r="F17" s="385" t="n"/>
      <c r="G17" s="385" t="n"/>
      <c r="H17" s="385" t="n">
        <v>1</v>
      </c>
      <c r="I17" s="385" t="n">
        <v>1</v>
      </c>
      <c r="J17" s="385" t="n"/>
      <c r="K17" s="385" t="n"/>
      <c r="L17" s="385" t="n"/>
      <c r="M17" s="385" t="n"/>
      <c r="N17" s="385" t="n"/>
      <c r="O17" s="385" t="n"/>
      <c r="P17" s="385" t="n"/>
      <c r="Q17" s="385" t="n">
        <v>1</v>
      </c>
      <c r="R17" s="385" t="n">
        <v>1</v>
      </c>
      <c r="S17" s="385" t="n">
        <v>1</v>
      </c>
      <c r="T17" s="385" t="n">
        <v>1</v>
      </c>
      <c r="U17" s="385" t="n">
        <v>1</v>
      </c>
      <c r="V17" s="385" t="n">
        <v>1</v>
      </c>
      <c r="W17" s="385" t="n">
        <v>1</v>
      </c>
      <c r="X17" s="385" t="n">
        <v>1</v>
      </c>
      <c r="Y17" s="385" t="n"/>
      <c r="Z17" s="385" t="n"/>
      <c r="AA17" s="385" t="n"/>
      <c r="AB17" s="385" t="n"/>
      <c r="AC17" s="385" t="n"/>
      <c r="AD17" s="385" t="n"/>
      <c r="AE17" s="385" t="n"/>
      <c r="AF17" s="385" t="n"/>
      <c r="AG17" s="385" t="n"/>
      <c r="AH17" s="385" t="n"/>
      <c r="AI17" s="385" t="n"/>
      <c r="AJ17" s="385" t="n"/>
      <c r="AK17" s="385" t="n"/>
      <c r="AL17" s="385" t="n"/>
    </row>
    <row r="18">
      <c r="B18" s="125" t="inlineStr">
        <is>
          <t>GD</t>
        </is>
      </c>
      <c r="C18" s="385" t="n">
        <v>1</v>
      </c>
      <c r="D18" s="385" t="n"/>
      <c r="E18" s="385" t="n"/>
      <c r="F18" s="385" t="n"/>
      <c r="G18" s="385" t="n"/>
      <c r="H18" s="385" t="n"/>
      <c r="I18" s="385" t="n"/>
      <c r="J18" s="385" t="n"/>
      <c r="K18" s="385" t="n"/>
      <c r="L18" s="385" t="n"/>
      <c r="M18" s="385" t="n"/>
      <c r="N18" s="385" t="n"/>
      <c r="O18" s="385" t="n"/>
      <c r="P18" s="385" t="n"/>
      <c r="Q18" s="385" t="n"/>
      <c r="R18" s="385" t="n"/>
      <c r="S18" s="385" t="n"/>
      <c r="T18" s="385" t="n"/>
      <c r="U18" s="385" t="n"/>
      <c r="V18" s="385" t="n"/>
      <c r="W18" s="385" t="n"/>
      <c r="X18" s="385" t="n"/>
      <c r="Y18" s="385" t="n"/>
      <c r="Z18" s="385" t="n"/>
      <c r="AA18" s="385" t="n"/>
      <c r="AB18" s="385" t="n"/>
      <c r="AC18" s="385" t="n"/>
      <c r="AD18" s="385" t="n"/>
      <c r="AE18" s="385" t="n"/>
      <c r="AF18" s="385" t="n"/>
      <c r="AG18" s="385" t="n"/>
      <c r="AH18" s="385" t="n"/>
      <c r="AI18" s="385" t="n"/>
      <c r="AJ18" s="385" t="n"/>
      <c r="AK18" s="385" t="n"/>
      <c r="AL18" s="385" t="n"/>
    </row>
    <row r="19">
      <c r="C19" s="385" t="n"/>
      <c r="D19" s="385" t="n"/>
      <c r="E19" s="385" t="n"/>
      <c r="F19" s="385" t="n"/>
      <c r="G19" s="385" t="n"/>
      <c r="H19" s="385" t="n"/>
      <c r="I19" s="385" t="n"/>
      <c r="J19" s="385" t="n"/>
      <c r="K19" s="385" t="n"/>
      <c r="L19" s="385" t="n"/>
      <c r="M19" s="385" t="n"/>
      <c r="N19" s="385" t="n"/>
      <c r="O19" s="385" t="n"/>
      <c r="P19" s="385" t="n"/>
      <c r="Q19" s="385" t="n"/>
      <c r="R19" s="385" t="n"/>
      <c r="S19" s="385" t="n"/>
      <c r="T19" s="385" t="n"/>
      <c r="U19" s="385" t="n"/>
      <c r="V19" s="385" t="n"/>
      <c r="W19" s="385" t="n"/>
      <c r="X19" s="385" t="n"/>
      <c r="Y19" s="385" t="n"/>
      <c r="Z19" s="385" t="n"/>
      <c r="AA19" s="385" t="n"/>
      <c r="AB19" s="385" t="n"/>
      <c r="AC19" s="385" t="n"/>
      <c r="AD19" s="385" t="n"/>
      <c r="AE19" s="385" t="n"/>
      <c r="AF19" s="385" t="n"/>
      <c r="AG19" s="385" t="n"/>
      <c r="AH19" s="385" t="n"/>
      <c r="AI19" s="385" t="n"/>
      <c r="AJ19" s="385" t="n"/>
      <c r="AK19" s="385" t="n"/>
      <c r="AL19" s="385" t="n"/>
    </row>
  </sheetData>
  <mergeCells count="11">
    <mergeCell ref="W3:Z3"/>
    <mergeCell ref="C3:F3"/>
    <mergeCell ref="S3:V3"/>
    <mergeCell ref="G3:J3"/>
    <mergeCell ref="K3:N3"/>
    <mergeCell ref="AA3:AD3"/>
    <mergeCell ref="O3:R3"/>
    <mergeCell ref="AE3:AH3"/>
    <mergeCell ref="AI3:AL3"/>
    <mergeCell ref="C1:F1"/>
    <mergeCell ref="L1:O1"/>
  </mergeCells>
  <pageMargins left="0.7" right="0.7" top="0.75" bottom="0.75" header="0.3" footer="0.3"/>
  <pageSetup orientation="landscape" scale="72" horizontalDpi="4294967295" verticalDpi="4294967295"/>
</worksheet>
</file>

<file path=xl/worksheets/sheet4.xml><?xml version="1.0" encoding="utf-8"?>
<worksheet xmlns="http://schemas.openxmlformats.org/spreadsheetml/2006/main">
  <sheetPr codeName="Sheet5">
    <tabColor rgb="FFC0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tabColor theme="1"/>
    <outlinePr summaryBelow="0" summaryRight="0"/>
    <pageSetUpPr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baseColWidth="8" defaultColWidth="2.81640625" defaultRowHeight="14.5"/>
  <cols>
    <col width="2.81640625" customWidth="1" style="172" min="1" max="16384"/>
  </cols>
  <sheetData>
    <row r="2" ht="28.5" customHeight="1" s="232">
      <c r="B2" s="171">
        <f>TEMPLATE_NAME&amp;" "&amp;TEMPLATE_VER&amp;" - HELP"</f>
        <v/>
      </c>
    </row>
    <row r="4">
      <c r="B4" s="172" t="inlineStr">
        <is>
          <t>This estimation template is designed and developed to facilicate following:</t>
        </is>
      </c>
    </row>
    <row r="5">
      <c r="B5" s="209" t="inlineStr">
        <is>
          <t>●</t>
        </is>
      </c>
      <c r="D5" s="172" t="inlineStr">
        <is>
          <t>Get rid of all possibilities of formula errors</t>
        </is>
      </c>
    </row>
    <row r="6">
      <c r="B6" s="209" t="inlineStr">
        <is>
          <t>●</t>
        </is>
      </c>
      <c r="D6" s="172" t="inlineStr">
        <is>
          <t>Keep archiects focused on the process of 'estimation' itself and not on ensuring formula correctness and keeping tasks grouping intact</t>
        </is>
      </c>
    </row>
    <row r="7">
      <c r="B7" s="209" t="inlineStr">
        <is>
          <t>●</t>
        </is>
      </c>
      <c r="D7" s="172" t="inlineStr">
        <is>
          <t>Automating cost calculations</t>
        </is>
      </c>
    </row>
    <row r="8">
      <c r="B8" s="209" t="inlineStr">
        <is>
          <t>●</t>
        </is>
      </c>
      <c r="D8" s="172" t="inlineStr">
        <is>
          <t>Automating basic scheduling with minimum and mostly standard inputs</t>
        </is>
      </c>
    </row>
    <row r="9">
      <c r="B9" s="209" t="inlineStr">
        <is>
          <t>●</t>
        </is>
      </c>
      <c r="D9" s="172" t="inlineStr">
        <is>
          <t>Giving sales an opportuinity to play around with effort to reach desired costing without breaking the technical equilibrium</t>
        </is>
      </c>
    </row>
    <row r="10">
      <c r="B10" s="209" t="inlineStr">
        <is>
          <t>●</t>
        </is>
      </c>
      <c r="D10" s="172" t="inlineStr">
        <is>
          <t>Giving pre-sales a simpler interface to pick estimation details or summary for use in final proposal</t>
        </is>
      </c>
    </row>
    <row r="11">
      <c r="B11" s="209" t="inlineStr">
        <is>
          <t>●</t>
        </is>
      </c>
      <c r="D11" s="172" t="inlineStr">
        <is>
          <t>Giving MMs an easy and semi-automated and integrated worksheet for manual and optimized scheduling</t>
        </is>
      </c>
    </row>
    <row r="13">
      <c r="B13" s="342" t="inlineStr">
        <is>
          <t>Top 15 Features</t>
        </is>
      </c>
      <c r="N13" s="235" t="inlineStr">
        <is>
          <t>There are tons of other features; which are very intutive and utilized on their own. Yet, you can have a look at</t>
        </is>
      </c>
      <c r="O13" s="234" t="n"/>
      <c r="P13" s="234" t="n"/>
      <c r="Q13" s="234" t="n"/>
      <c r="R13" s="234" t="n"/>
      <c r="S13" s="234" t="n"/>
      <c r="T13" s="234" t="n"/>
      <c r="U13" s="234" t="n"/>
      <c r="V13" s="234" t="n"/>
      <c r="W13" s="234" t="n"/>
      <c r="X13" s="234" t="n"/>
      <c r="Y13" s="234" t="n"/>
      <c r="Z13" s="234" t="n"/>
      <c r="AA13" s="234" t="n"/>
      <c r="AB13" s="234" t="n"/>
      <c r="AC13" s="234" t="n"/>
      <c r="AD13" s="234" t="n"/>
      <c r="AE13" s="234" t="n"/>
      <c r="AF13" s="234" t="n"/>
      <c r="AG13" s="234" t="n"/>
      <c r="AH13" s="234" t="n"/>
      <c r="AI13" s="234" t="n"/>
      <c r="AJ13" s="234" t="n"/>
      <c r="AK13" s="234" t="n"/>
      <c r="AL13" s="234" t="n"/>
      <c r="AM13" s="234" t="n"/>
      <c r="AN13" s="234" t="n"/>
      <c r="AO13" s="234" t="n"/>
      <c r="AP13" s="234" t="n"/>
      <c r="AQ13" s="234" t="n"/>
      <c r="AR13" s="234" t="n"/>
      <c r="AS13" s="234" t="n"/>
      <c r="AT13" s="234" t="n"/>
      <c r="AU13" s="234" t="n"/>
      <c r="AV13" s="239" t="inlineStr">
        <is>
          <t>FAQs</t>
        </is>
      </c>
      <c r="AW13" s="234" t="n"/>
      <c r="AX13" s="235" t="inlineStr">
        <is>
          <t>for specific questions that</t>
        </is>
      </c>
      <c r="AY13" s="234" t="n"/>
      <c r="AZ13" s="234" t="n"/>
      <c r="BA13" s="234" t="n"/>
      <c r="BB13" s="234" t="n"/>
      <c r="BC13" s="234" t="n"/>
      <c r="BD13" s="234" t="n"/>
      <c r="BE13" s="234" t="n"/>
      <c r="BF13" s="234" t="n"/>
    </row>
    <row r="14">
      <c r="N14" s="235" t="inlineStr">
        <is>
          <t>you may have.</t>
        </is>
      </c>
      <c r="S14" s="235" t="inlineStr">
        <is>
          <t xml:space="preserve">If you still have more questions, send a mail at: </t>
        </is>
      </c>
      <c r="AH14" s="239" t="inlineStr">
        <is>
          <t>vikas.burman@nagarro.com</t>
        </is>
      </c>
    </row>
    <row r="15" ht="15" customHeight="1" s="232">
      <c r="B15" s="342" t="n"/>
      <c r="C15" s="342" t="n"/>
      <c r="D15" s="342" t="n"/>
      <c r="E15" s="342" t="n"/>
      <c r="F15" s="342" t="n"/>
      <c r="G15" s="342" t="n"/>
      <c r="H15" s="342" t="n"/>
      <c r="I15" s="342" t="n"/>
      <c r="J15" s="342" t="n"/>
      <c r="N15" s="237" t="n"/>
      <c r="S15" s="237" t="n"/>
      <c r="AH15" s="238" t="n"/>
    </row>
    <row r="16" ht="15" customHeight="1" s="232">
      <c r="H16" s="343" t="inlineStr">
        <is>
          <t>Multi-level Auto Numbering</t>
        </is>
      </c>
      <c r="AL16" s="343" t="inlineStr">
        <is>
          <t>Consistent 2-level Automated Grouping</t>
        </is>
      </c>
    </row>
    <row r="17" ht="15" customHeight="1" s="232"/>
    <row r="18">
      <c r="H18" s="172" t="inlineStr">
        <is>
          <t>It numbers and re-numbers tasks and activities</t>
        </is>
      </c>
      <c r="AL18" s="172" t="inlineStr">
        <is>
          <t>Across all phases, it does consistent two level grouping</t>
        </is>
      </c>
    </row>
    <row r="19">
      <c r="H19" s="172" t="inlineStr">
        <is>
          <t>automatically as you insert or remove items.</t>
        </is>
      </c>
      <c r="AL19" s="172" t="inlineStr">
        <is>
          <t>of tasks and activities; automatically as you insert or remove</t>
        </is>
      </c>
    </row>
    <row r="20">
      <c r="H20" s="172" t="inlineStr">
        <is>
          <t>Phase numbers are kept manual as this is generally fixed</t>
        </is>
      </c>
      <c r="AL20" s="172" t="inlineStr">
        <is>
          <t xml:space="preserve">items. </t>
        </is>
      </c>
    </row>
    <row r="21">
      <c r="H21" s="172" t="inlineStr">
        <is>
          <t xml:space="preserve">and rarely changes. </t>
        </is>
      </c>
    </row>
    <row r="22">
      <c r="H22" s="172" t="inlineStr">
        <is>
          <t>Task groups don't have numbers by default, but you can</t>
        </is>
      </c>
      <c r="AL22" s="172" t="inlineStr">
        <is>
          <t>A task group can bring in one level of logical seperation without</t>
        </is>
      </c>
    </row>
    <row r="23">
      <c r="H23" s="172" t="inlineStr">
        <is>
          <t>do manual numbering, if you need.</t>
        </is>
      </c>
      <c r="AL23" s="172" t="inlineStr">
        <is>
          <t>adding another level of grouping.</t>
        </is>
      </c>
    </row>
    <row r="29">
      <c r="B29" s="343" t="inlineStr">
        <is>
          <t>Controlled Insert/Delete</t>
        </is>
      </c>
    </row>
    <row r="30"/>
    <row r="31">
      <c r="B31" s="172" t="inlineStr">
        <is>
          <t>Since estimation sheet is password protected and does not allow adding/removing rows anywhere, it provieds simple command buttons to add tasks, activities and groups.</t>
        </is>
      </c>
    </row>
    <row r="32">
      <c r="B32" s="172" t="inlineStr">
        <is>
          <t>Add Before button add a task when not inside/on a section/task; when inside a task or on an activity, it adds an activity</t>
        </is>
      </c>
    </row>
    <row r="33">
      <c r="B33" s="172" t="inlineStr">
        <is>
          <t>Add After button do  the same as Add Before, but insert new item on top of current row</t>
        </is>
      </c>
    </row>
    <row r="34">
      <c r="B34" s="172" t="inlineStr">
        <is>
          <t>Add Group adds a task group (can be used to define a module)</t>
        </is>
      </c>
    </row>
    <row r="35">
      <c r="B35" s="172" t="inlineStr">
        <is>
          <t>Remove button deletes the current row (which could be an activity, task or task group)</t>
        </is>
      </c>
    </row>
    <row r="36">
      <c r="B36" s="172" t="inlineStr">
        <is>
          <t>Move Up/Down buttons move current row up or down. Rows can cross phases as well.</t>
        </is>
      </c>
    </row>
    <row r="41">
      <c r="B41" s="343" t="inlineStr">
        <is>
          <t>100% Automated Calculations</t>
        </is>
      </c>
    </row>
    <row r="42">
      <c r="AE42" s="172" t="inlineStr">
        <is>
          <t>Activities sum up at task level</t>
        </is>
      </c>
    </row>
    <row r="43">
      <c r="B43" s="172" t="inlineStr">
        <is>
          <t xml:space="preserve">All regular summation and calculations are baked in 100% safe formulae, that cannot </t>
        </is>
      </c>
      <c r="AE43" s="172" t="inlineStr">
        <is>
          <t>Tasks sum up at phase level</t>
        </is>
      </c>
    </row>
    <row r="44">
      <c r="B44" s="172" t="inlineStr">
        <is>
          <t>be overwritten accidently or otherwise; as cells are protected.</t>
        </is>
      </c>
      <c r="AE44" s="172" t="inlineStr">
        <is>
          <t>If task groups are inserted, tasks below a task group sum up at task group level.</t>
        </is>
      </c>
    </row>
    <row r="46">
      <c r="B46" s="172" t="inlineStr">
        <is>
          <t>This also facilitate upto last change reflection in effort, schedule and costing</t>
        </is>
      </c>
      <c r="AE46" s="172" t="inlineStr">
        <is>
          <t>The plase where a new task group is inserted, all tasks below that row untill</t>
        </is>
      </c>
    </row>
    <row r="47">
      <c r="B47" s="172" t="inlineStr">
        <is>
          <t>updates.</t>
        </is>
      </c>
      <c r="AE47" s="172" t="inlineStr">
        <is>
          <t>next task group or till the end of that phase, become part of that task group.</t>
        </is>
      </c>
    </row>
    <row r="49">
      <c r="B49" s="343" t="inlineStr">
        <is>
          <t>Automated Basic Scheduling</t>
        </is>
      </c>
    </row>
    <row r="50"/>
    <row r="51">
      <c r="B51" s="172" t="inlineStr">
        <is>
          <t>Given a start date and resource loading for each</t>
        </is>
      </c>
    </row>
    <row r="52">
      <c r="B52" s="172" t="inlineStr">
        <is>
          <t>phase, it creates basic schedule automatically.</t>
        </is>
      </c>
    </row>
    <row r="54">
      <c r="B54" s="172" t="inlineStr">
        <is>
          <t>Since focus of this template is not doing</t>
        </is>
      </c>
    </row>
    <row r="55">
      <c r="B55" s="172" t="inlineStr">
        <is>
          <t>optimized scheduling, it integrates with</t>
        </is>
      </c>
    </row>
    <row r="56">
      <c r="B56" s="172" t="inlineStr">
        <is>
          <t xml:space="preserve">possibility of doing manual scheduling </t>
        </is>
      </c>
    </row>
    <row r="57">
      <c r="B57" s="172" t="inlineStr">
        <is>
          <t>as well.</t>
        </is>
      </c>
    </row>
    <row r="71">
      <c r="B71" s="343" t="inlineStr">
        <is>
          <t>Costing Goes Hand-in-Hand</t>
        </is>
      </c>
    </row>
    <row r="72"/>
    <row r="73">
      <c r="B73" s="172" t="inlineStr">
        <is>
          <t>Define role wise rates and let it calculate the cost</t>
        </is>
      </c>
    </row>
    <row r="74">
      <c r="B74" s="172" t="inlineStr">
        <is>
          <t>as the estimation happens / changes are applied.</t>
        </is>
      </c>
    </row>
    <row r="75">
      <c r="B75" s="172" t="inlineStr">
        <is>
          <t>Instantly!</t>
        </is>
      </c>
    </row>
    <row r="79">
      <c r="B79" s="172" t="inlineStr">
        <is>
          <t xml:space="preserve">A summary of current cost always shows up </t>
        </is>
      </c>
    </row>
    <row r="80">
      <c r="B80" s="172" t="inlineStr">
        <is>
          <t>on top.</t>
        </is>
      </c>
    </row>
    <row r="83" ht="15" customHeight="1" s="232">
      <c r="BG83" s="217" t="inlineStr">
        <is>
          <t>Graphical Effort Distribution</t>
        </is>
      </c>
      <c r="BH83" s="216" t="n"/>
      <c r="BI83" s="216" t="n"/>
      <c r="BJ83" s="216" t="n"/>
      <c r="BK83" s="216" t="n"/>
      <c r="BL83" s="216" t="n"/>
      <c r="BM83" s="216" t="n"/>
      <c r="BN83" s="216" t="n"/>
      <c r="BO83" s="216" t="n"/>
      <c r="BP83" s="216" t="n"/>
    </row>
    <row r="84" ht="15" customHeight="1" s="232">
      <c r="C84" s="343" t="inlineStr">
        <is>
          <t>Aggregated Effort Per Task</t>
        </is>
      </c>
      <c r="AZ84" s="217" t="n"/>
      <c r="BA84" s="217" t="n"/>
      <c r="BB84" s="217" t="n"/>
      <c r="BC84" s="217" t="n"/>
      <c r="BD84" s="217" t="n"/>
      <c r="BF84" s="217" t="n"/>
      <c r="BG84" s="216" t="inlineStr">
        <is>
          <t>Effort distribution per phase is shown</t>
        </is>
      </c>
      <c r="BH84" s="217" t="n"/>
      <c r="BI84" s="217" t="n"/>
      <c r="BJ84" s="217" t="n"/>
    </row>
    <row r="85" ht="18.5" customHeight="1" s="232">
      <c r="AY85" s="217" t="n"/>
      <c r="AZ85" s="217" t="n"/>
      <c r="BA85" s="217" t="n"/>
      <c r="BB85" s="217" t="n"/>
      <c r="BC85" s="217" t="n"/>
      <c r="BD85" s="217" t="n"/>
      <c r="BF85" s="217" t="n"/>
      <c r="BG85" s="216" t="inlineStr">
        <is>
          <t>graphically for easy comprehension.</t>
        </is>
      </c>
      <c r="BH85" s="217" t="n"/>
      <c r="BI85" s="217" t="n"/>
      <c r="BJ85" s="217" t="n"/>
      <c r="BK85" s="216" t="n"/>
      <c r="BL85" s="216" t="n"/>
      <c r="BM85" s="216" t="n"/>
      <c r="BN85" s="216" t="n"/>
      <c r="BO85" s="216" t="n"/>
      <c r="BP85" s="216" t="n"/>
      <c r="BQ85" s="216" t="n"/>
    </row>
    <row r="86">
      <c r="C86" s="172" t="inlineStr">
        <is>
          <t>See aggregated effort (including requirement, design, testing, etc., per</t>
        </is>
      </c>
      <c r="BG86" s="216" t="n"/>
      <c r="BH86" s="216" t="n"/>
      <c r="BI86" s="216" t="n"/>
      <c r="BJ86" s="216" t="n"/>
      <c r="BK86" s="216" t="n"/>
      <c r="BL86" s="216" t="n"/>
      <c r="BM86" s="216" t="n"/>
      <c r="BN86" s="216" t="n"/>
      <c r="BO86" s="216" t="n"/>
      <c r="BP86" s="216" t="n"/>
      <c r="BQ86" s="216" t="n"/>
    </row>
    <row r="87">
      <c r="C87" s="172" t="inlineStr">
        <is>
          <t>development task and task group). All automated.</t>
        </is>
      </c>
    </row>
    <row r="93">
      <c r="AE93" s="343" t="inlineStr">
        <is>
          <t>Ability to Add Buffer, Unit Testing, etc. Explicitely</t>
        </is>
      </c>
    </row>
    <row r="94"/>
    <row r="95">
      <c r="AE95" s="172" t="inlineStr">
        <is>
          <t xml:space="preserve">Add explicit overheads per task in a collapsable area - outside the WBS, </t>
        </is>
      </c>
    </row>
    <row r="96" ht="15" customHeight="1" s="232">
      <c r="AE96" s="172" t="inlineStr">
        <is>
          <t>to make your choices explicit.</t>
        </is>
      </c>
    </row>
    <row r="97" ht="15" customHeight="1" s="232"/>
    <row r="104">
      <c r="C104" s="343" t="inlineStr">
        <is>
          <t>Sales have the final call!</t>
        </is>
      </c>
    </row>
    <row r="105"/>
    <row r="111">
      <c r="C111" s="172" t="inlineStr">
        <is>
          <t xml:space="preserve">Increase / Decrease effort all over WBS without breaking the </t>
        </is>
      </c>
    </row>
    <row r="112">
      <c r="C112" s="172" t="inlineStr">
        <is>
          <t xml:space="preserve">technical equilibrium - using given controls. </t>
        </is>
      </c>
    </row>
    <row r="114">
      <c r="C114" s="172" t="inlineStr">
        <is>
          <t>Optinally marked items which are generally good to have</t>
        </is>
      </c>
      <c r="AF114" s="343" t="inlineStr">
        <is>
          <t>Take it to Final Propsal</t>
        </is>
      </c>
    </row>
    <row r="115">
      <c r="C115" s="172" t="inlineStr">
        <is>
          <t>can be excluded if need be.</t>
        </is>
      </c>
    </row>
    <row r="116">
      <c r="AF116" s="172" t="inlineStr">
        <is>
          <t>On a single click, take the WBS to final propsal as-is without breaking any formatting (as image).</t>
        </is>
      </c>
    </row>
    <row r="117">
      <c r="AF117" s="172" t="inlineStr">
        <is>
          <t>Choose between Full or Compact view (all / selective (predefined) ) colums</t>
        </is>
      </c>
    </row>
    <row r="121">
      <c r="V121" s="343" t="inlineStr">
        <is>
          <t>Informative Edges</t>
        </is>
      </c>
    </row>
    <row r="122"/>
    <row r="123">
      <c r="S123" s="172" t="inlineStr">
        <is>
          <t>Left edge shows various colored lines to indicate extras; e.g., if item has</t>
        </is>
      </c>
    </row>
    <row r="124">
      <c r="S124" s="172" t="inlineStr">
        <is>
          <t xml:space="preserve">any error, or any effort markup is added (inside collapsable area). </t>
        </is>
      </c>
    </row>
    <row r="126">
      <c r="S126" s="172" t="inlineStr">
        <is>
          <t>Right edge shows the specific error on the line, if any.</t>
        </is>
      </c>
    </row>
    <row r="130">
      <c r="F130" s="343" t="inlineStr">
        <is>
          <t>Full Featured Estimation Area</t>
        </is>
      </c>
    </row>
    <row r="131"/>
    <row r="132">
      <c r="F132" s="172" t="inlineStr">
        <is>
          <t>Define Unit name, count and complexity mix. Define effort for 1 medium unit. Rest is calculated. Take final judgement over calculated effort by adding/reducing on it.</t>
        </is>
      </c>
    </row>
    <row r="133">
      <c r="F133" s="172" t="inlineStr">
        <is>
          <t>Extras such as Unit Testing, if chosen, also shows up.</t>
        </is>
      </c>
    </row>
    <row r="143">
      <c r="D143" s="343" t="inlineStr">
        <is>
          <t>In-Place Review Area</t>
        </is>
      </c>
    </row>
    <row r="144"/>
    <row r="145">
      <c r="D145" s="172" t="inlineStr">
        <is>
          <t>Review comments can be placed right inside the collapsable</t>
        </is>
      </c>
    </row>
    <row r="146">
      <c r="D146" s="172" t="inlineStr">
        <is>
          <t xml:space="preserve">area. </t>
        </is>
      </c>
    </row>
    <row r="148">
      <c r="D148" s="172" t="inlineStr">
        <is>
          <t>A yellow line indicate where all review comments are placed.</t>
        </is>
      </c>
    </row>
    <row r="149">
      <c r="D149" s="172" t="inlineStr">
        <is>
          <t>This is helpful especially when looking with all closed rows.</t>
        </is>
      </c>
    </row>
    <row r="152">
      <c r="D152" s="343" t="inlineStr">
        <is>
          <t>Finally, everything is configurable!</t>
        </is>
      </c>
    </row>
    <row r="153"/>
    <row r="154">
      <c r="G154" s="172" t="inlineStr">
        <is>
          <t>Use pre-defined names or define your own, if you still get situations where you want to write formulae in your estimation.</t>
        </is>
      </c>
    </row>
  </sheetData>
  <mergeCells count="15">
    <mergeCell ref="C104:W105"/>
    <mergeCell ref="D152:X153"/>
    <mergeCell ref="AL16:BD17"/>
    <mergeCell ref="V121:AP122"/>
    <mergeCell ref="F130:Z131"/>
    <mergeCell ref="D143:X144"/>
    <mergeCell ref="B49:N50"/>
    <mergeCell ref="C84:Q85"/>
    <mergeCell ref="AE93:AY94"/>
    <mergeCell ref="B41:O42"/>
    <mergeCell ref="B71:P72"/>
    <mergeCell ref="B29:O30"/>
    <mergeCell ref="AF114:AZ115"/>
    <mergeCell ref="B13:J14"/>
    <mergeCell ref="H16:V17"/>
  </mergeCells>
  <hyperlinks>
    <hyperlink ref="AV13" location="FAQs!A1" tooltip="Frequently Asked Questions (FAQs)" display="FAQs"/>
    <hyperlink xmlns:r="http://schemas.openxmlformats.org/officeDocument/2006/relationships" ref="AH14" r:id="rId1"/>
  </hyperlinks>
  <pageMargins left="0.7" right="0.7" top="0.75" bottom="0.75" header="0.3" footer="0.3"/>
  <pageSetup orientation="portrait" horizontalDpi="4294967295" verticalDpi="4294967295"/>
</worksheet>
</file>

<file path=xl/worksheets/sheet6.xml><?xml version="1.0" encoding="utf-8"?>
<worksheet xmlns="http://schemas.openxmlformats.org/spreadsheetml/2006/main">
  <sheetPr codeName="Sheet6">
    <tabColor theme="1"/>
    <outlinePr summaryBelow="0" summaryRight="0"/>
    <pageSetUpPr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baseColWidth="8" defaultColWidth="3.81640625" defaultRowHeight="14.5"/>
  <cols>
    <col width="2.81640625" customWidth="1" style="232" min="1" max="1"/>
    <col width="4.453125" bestFit="1" customWidth="1" style="232" min="2" max="2"/>
  </cols>
  <sheetData>
    <row r="2" ht="28.5" customHeight="1" s="232">
      <c r="B2" s="171">
        <f>TEMPLATE_NAME&amp;" "&amp;TEMPLATE_VER&amp;" - FAQs"</f>
        <v/>
      </c>
    </row>
    <row r="4" ht="18.5" customHeight="1" s="232">
      <c r="B4" s="233" t="inlineStr">
        <is>
          <t>FOR ARCHITECTS</t>
        </is>
      </c>
    </row>
    <row r="6" ht="21" customFormat="1" customHeight="1" s="229">
      <c r="B6" s="228" t="n">
        <v>1</v>
      </c>
      <c r="C6" s="228" t="inlineStr">
        <is>
          <t>Where do I define the RFP Name, Client Name, etc.?</t>
        </is>
      </c>
    </row>
    <row r="7">
      <c r="D7" t="inlineStr">
        <is>
          <t>Open "Estimation Support Settings" section and you will see a lot of configuration options where you can define these. It will be updated automatically in a pre-defined</t>
        </is>
      </c>
    </row>
    <row r="8">
      <c r="D8" t="inlineStr">
        <is>
          <t>format.</t>
        </is>
      </c>
    </row>
    <row r="10" ht="21" customFormat="1" customHeight="1" s="229">
      <c r="B10" s="228" t="n">
        <v>2</v>
      </c>
      <c r="C10" s="228" t="inlineStr">
        <is>
          <t>It does not allow to insert a row. How do I add a row?</t>
        </is>
      </c>
    </row>
    <row r="11">
      <c r="D11" t="inlineStr">
        <is>
          <t>Yes, the sheets are protected to ensure sanity of formulae. It allows adding Tasks and Activities using provided command buttons. Use Add Before, Add After or Add Group</t>
        </is>
      </c>
    </row>
    <row r="12">
      <c r="D12" t="inlineStr">
        <is>
          <t>to add task, activities or task groups.</t>
        </is>
      </c>
    </row>
    <row r="14" ht="21" customFormat="1" customHeight="1" s="229">
      <c r="B14" s="228" t="n">
        <v>3</v>
      </c>
      <c r="C14" s="228" t="inlineStr">
        <is>
          <t>How to delete a row?</t>
        </is>
      </c>
    </row>
    <row r="15">
      <c r="D15" t="inlineStr">
        <is>
          <t>Use provided Remove button to remove currently selected row.</t>
        </is>
      </c>
    </row>
    <row r="17" ht="21" customFormat="1" customHeight="1" s="229">
      <c r="B17" s="228" t="n">
        <v>4</v>
      </c>
      <c r="C17" s="228" t="inlineStr">
        <is>
          <t>It only supports two level of groupings, I need three or more levels.</t>
        </is>
      </c>
    </row>
    <row r="18">
      <c r="D18" t="inlineStr">
        <is>
          <t>For sake of consistency across estimates, it allows only two collapsable levels of grouping. Yet it supports a logical non-collapsable third level called a Task group.</t>
        </is>
      </c>
    </row>
    <row r="19">
      <c r="D19" t="inlineStr">
        <is>
          <t>A task group can be added above any task using Ctrl+Shift+G. A task group is intelligent to assume all tasks, till the next task group  or end of section, under it.</t>
        </is>
      </c>
    </row>
    <row r="20">
      <c r="D20" t="inlineStr">
        <is>
          <t>This affects the summation of the task group effort.</t>
        </is>
      </c>
    </row>
    <row r="22" ht="21" customFormat="1" customHeight="1" s="229">
      <c r="B22" s="228" t="n">
        <v>5</v>
      </c>
      <c r="C22" s="228" t="inlineStr">
        <is>
          <t>It does not allow copy/paste of rows. How do I move one row elsewhere?</t>
        </is>
      </c>
    </row>
    <row r="23">
      <c r="D23" t="inlineStr">
        <is>
          <t>Since sheet is protected for discussed reasons, it does not allow copy/paste of rows.</t>
        </is>
      </c>
    </row>
    <row r="24">
      <c r="D24" t="inlineStr">
        <is>
          <t>But it gives an easy way for moving tasks, activities and even task groups. Use Move Up or Move Down command buttons to move rows up or down.</t>
        </is>
      </c>
    </row>
    <row r="25">
      <c r="D25" t="inlineStr">
        <is>
          <t>This means, activities can be moved in another task and even in another phase. Task groups can also move up or down and therefore be parent of a different set of tasks.</t>
        </is>
      </c>
    </row>
    <row r="27" ht="21" customFormat="1" customHeight="1" s="229">
      <c r="B27" s="228" t="n">
        <v>6</v>
      </c>
      <c r="C27" s="228" t="inlineStr">
        <is>
          <t>I want to add a new section / phase?</t>
        </is>
      </c>
    </row>
    <row r="28">
      <c r="D28" t="inlineStr">
        <is>
          <t>This supports only 6 phases. You can rename them as required. However if you really need 7th; you need to use a different template.</t>
        </is>
      </c>
    </row>
    <row r="30" ht="21" customFormat="1" customHeight="1" s="229">
      <c r="B30" s="228" t="n">
        <v>7</v>
      </c>
      <c r="C30" s="228" t="inlineStr">
        <is>
          <t>It does not allow adding effort details for a task. Where do I put effort estimates?</t>
        </is>
      </c>
    </row>
    <row r="31">
      <c r="D31" t="inlineStr">
        <is>
          <t>Effort estimates can be added only to an activity. A task is always a collection of activities. At minimum there will be one activity in one task.</t>
        </is>
      </c>
    </row>
    <row r="33" ht="21" customFormat="1" customHeight="1" s="229">
      <c r="B33" s="228" t="n">
        <v>8</v>
      </c>
      <c r="C33" s="228" t="inlineStr">
        <is>
          <t>Certain rows do not get numbered automatically. Is this by design?</t>
        </is>
      </c>
    </row>
    <row r="34">
      <c r="D34" t="inlineStr">
        <is>
          <t>Yes, sections  and Task groups are not numbered automatically for various reasons and should be typed in manually as required.</t>
        </is>
      </c>
    </row>
    <row r="35">
      <c r="D35" t="inlineStr">
        <is>
          <t>For all other rows, numbers are generated and updated (on move, inserts, deletion) automatically.</t>
        </is>
      </c>
    </row>
    <row r="37" ht="21" customFormat="1" customHeight="1" s="229">
      <c r="B37" s="228" t="n">
        <v>9</v>
      </c>
      <c r="C37" s="228" t="inlineStr">
        <is>
          <t>What each column mean and what I am supposed to write where?</t>
        </is>
      </c>
    </row>
    <row r="38">
      <c r="D38" t="inlineStr">
        <is>
          <t>There are following columns and what each column mean:</t>
        </is>
      </c>
    </row>
    <row r="39">
      <c r="F39" s="220" t="inlineStr">
        <is>
          <t>Number:</t>
        </is>
      </c>
      <c r="G39" t="inlineStr">
        <is>
          <t>This area is semi-editable and shows the section, task group, task and/or activity number. Numbers of only section and task group rows can be edited.</t>
        </is>
      </c>
    </row>
    <row r="40">
      <c r="F40" s="220" t="inlineStr">
        <is>
          <t>Tasks:</t>
        </is>
      </c>
      <c r="G40" t="inlineStr">
        <is>
          <t>This area is editable and should define section name, task group name, task name or activity name, as the case may be. An activity can optionally have bullets for scope.</t>
        </is>
      </c>
    </row>
    <row r="41">
      <c r="F41" s="220" t="inlineStr">
        <is>
          <t>RFP Mapping:</t>
        </is>
      </c>
      <c r="G41" t="inlineStr">
        <is>
          <t>Mapping with requirement document if any can be defined here.</t>
        </is>
      </c>
    </row>
    <row r="42">
      <c r="F42" s="220" t="inlineStr">
        <is>
          <t>Unit:</t>
        </is>
      </c>
      <c r="G42" t="inlineStr">
        <is>
          <t>Unit section is to define unit of activity estimation.</t>
        </is>
      </c>
    </row>
    <row r="43">
      <c r="G43" s="220" t="inlineStr">
        <is>
          <t>Name:</t>
        </is>
      </c>
      <c r="H43" t="inlineStr">
        <is>
          <t>Define a unit name here, e.g., Screen, Test Case, Report, % of X, etc.</t>
        </is>
      </c>
    </row>
    <row r="44">
      <c r="G44" s="220" t="inlineStr">
        <is>
          <t>#:</t>
        </is>
      </c>
      <c r="H44" t="inlineStr">
        <is>
          <t>Define the number that represents the unit. If number is a % value, still define it as number. Add % in forumula, if required elsewhere.</t>
        </is>
      </c>
    </row>
    <row r="45">
      <c r="G45" s="1" t="inlineStr">
        <is>
          <t>x N:</t>
        </is>
      </c>
      <c r="H45" t="inlineStr">
        <is>
          <t>Define how many cycles/set of Unit * Number are required. Generally this will be required only in few cases</t>
        </is>
      </c>
    </row>
    <row r="46">
      <c r="I46" t="inlineStr">
        <is>
          <t>E.g., 3 Staging Releases where 5% of Dev time is required everytime, or 5 Screens to be tested on 7 Browsers</t>
        </is>
      </c>
    </row>
    <row r="47">
      <c r="G47" s="220" t="inlineStr">
        <is>
          <t>Complexity %:</t>
        </is>
      </c>
      <c r="H47" t="inlineStr">
        <is>
          <t xml:space="preserve">There are three columns to define the complexity mix of the number that is defined in '#' column. </t>
        </is>
      </c>
    </row>
    <row r="48">
      <c r="I48" t="inlineStr">
        <is>
          <t>E.g., If 20 Use Cases are defined, it's possible that we are assuming 25% as High, 50% as Medium and remaining 25% as Low</t>
        </is>
      </c>
    </row>
    <row r="49">
      <c r="G49" s="220" t="inlineStr">
        <is>
          <t>Effort (PDs):</t>
        </is>
      </c>
      <c r="H49" t="inlineStr">
        <is>
          <t>This area represents calculated and worked-up effort estimate in PDs. This is NON-EDITABLE.</t>
        </is>
      </c>
    </row>
    <row r="50">
      <c r="D50" s="344" t="inlineStr">
        <is>
          <t>Out of scope / Assumptions:</t>
        </is>
      </c>
      <c r="H50" t="inlineStr">
        <is>
          <t>This column lets you define any out of scope activities related to specific task, and relevant assumptions related to specific activity.</t>
        </is>
      </c>
    </row>
    <row r="51"/>
    <row r="52"/>
    <row r="54" ht="21" customFormat="1" customHeight="1" s="229">
      <c r="B54" s="228" t="n">
        <v>10</v>
      </c>
      <c r="C54" s="228" t="inlineStr">
        <is>
          <t>Where do I put in effort estimates?</t>
        </is>
      </c>
    </row>
    <row r="55">
      <c r="D55" t="inlineStr">
        <is>
          <t>Open the columns group using + symbol under "W" column.</t>
        </is>
      </c>
    </row>
    <row r="56">
      <c r="D56" t="inlineStr">
        <is>
          <t>Following columns are visible now where you can work-out estimates for the activity. The details of each of these columns are:</t>
        </is>
      </c>
    </row>
    <row r="57">
      <c r="F57" s="220" t="inlineStr">
        <is>
          <t>PDs / 1 Unit:</t>
        </is>
      </c>
      <c r="G57" t="inlineStr">
        <is>
          <t>This is where you should define how many PDs would it take to complete 1 Medium Complexity Unit of activity.</t>
        </is>
      </c>
    </row>
    <row r="58">
      <c r="H58" t="inlineStr">
        <is>
          <t>E.g., If Unit was "Use Case", # was "20", Complexity Mix was H: 25%, M: 50%, L: 25%, if we define PDs / 1 Unit - it means the total effort for this acitivity would be:</t>
        </is>
      </c>
    </row>
    <row r="59">
      <c r="I59" t="inlineStr">
        <is>
          <t>M: 50% of 20 = 10</t>
        </is>
      </c>
      <c r="N59" t="inlineStr">
        <is>
          <t>10 X 1 = 10 PDs</t>
        </is>
      </c>
    </row>
    <row r="60">
      <c r="I60" t="inlineStr">
        <is>
          <t>H: 25% of 20 = 5</t>
        </is>
      </c>
      <c r="N60" t="inlineStr">
        <is>
          <t>5 X 1.5 = 7.5 PDs</t>
        </is>
      </c>
      <c r="T60" t="inlineStr">
        <is>
          <t>(more on this later in next FAQ)</t>
        </is>
      </c>
    </row>
    <row r="61">
      <c r="I61" t="inlineStr">
        <is>
          <t>L: 25% of 20 = 5</t>
        </is>
      </c>
      <c r="N61" t="inlineStr">
        <is>
          <t>5 X .75 = 3.75 PDs</t>
        </is>
      </c>
      <c r="T61" t="inlineStr">
        <is>
          <t>(more on this later in next FAQ)</t>
        </is>
      </c>
    </row>
    <row r="62">
      <c r="N62" t="inlineStr">
        <is>
          <t>21 PDs</t>
        </is>
      </c>
    </row>
    <row r="63">
      <c r="F63" s="220" t="inlineStr">
        <is>
          <t>Calculated:</t>
        </is>
      </c>
      <c r="G63" t="inlineStr">
        <is>
          <t>This shows calculated effort based on given unit and unit-effort details. This is NON-EDITABLE.</t>
        </is>
      </c>
    </row>
    <row r="64">
      <c r="F64" s="220" t="inlineStr">
        <is>
          <t>(+/-):</t>
        </is>
      </c>
      <c r="G64" t="inlineStr">
        <is>
          <t>Basic calculation based on given unit and size is done here; however for real judgement you can ADD or SUBTRACT any figure here.</t>
        </is>
      </c>
    </row>
    <row r="65">
      <c r="H65" t="inlineStr">
        <is>
          <t>E.g., -2 in this column will make final effort to be used as 19 PDs instead of 21 PDs.</t>
        </is>
      </c>
    </row>
    <row r="66">
      <c r="I66" t="inlineStr">
        <is>
          <t>4 in this column will make final effort to be used as 25 PDs instead of 21 PDs.</t>
        </is>
      </c>
    </row>
    <row r="67">
      <c r="G67" t="inlineStr">
        <is>
          <t>This gives you finer control on estimation - which otherwise you would have (in unprotected / no-formula) sheet</t>
        </is>
      </c>
    </row>
    <row r="68">
      <c r="F68" s="220" t="inlineStr">
        <is>
          <t>w Extras:</t>
        </is>
      </c>
      <c r="G68" t="inlineStr">
        <is>
          <t>This shows additionally added effort based on choices made for rows. This is NON-EDITABLE.</t>
        </is>
      </c>
      <c r="AD68" t="inlineStr">
        <is>
          <t>(more on this later in next FAQ)</t>
        </is>
      </c>
    </row>
    <row r="69">
      <c r="H69" t="inlineStr">
        <is>
          <t>This effort is added on +/- adjusted (calculated) effort.</t>
        </is>
      </c>
    </row>
    <row r="71" ht="21" customFormat="1" customHeight="1" s="229">
      <c r="B71" s="228" t="n">
        <v>11</v>
      </c>
      <c r="C71" s="228" t="inlineStr">
        <is>
          <t>I define effort for Medium complexity activity. How does effort for High and Low complexity activities are calculated?</t>
        </is>
      </c>
    </row>
    <row r="72">
      <c r="D72" t="inlineStr">
        <is>
          <t>This is configurable under "Estimation Support Settings -&gt; Complexity Impact" section.</t>
        </is>
      </c>
    </row>
    <row r="73">
      <c r="D73" t="inlineStr">
        <is>
          <t>Default values are set to assume 50% more effort for a high complexity activity as compared to medium complexity one; and 25% less effort when it is low complexity acitivity.</t>
        </is>
      </c>
    </row>
    <row r="74">
      <c r="D74" t="inlineStr">
        <is>
          <t>Generally you would not change it - but this is very much available for any change.</t>
        </is>
      </c>
    </row>
    <row r="76" ht="21" customFormat="1" customHeight="1" s="229">
      <c r="B76" s="228" t="n">
        <v>12</v>
      </c>
      <c r="C76" s="228" t="inlineStr">
        <is>
          <t>What Extras are available to add to estimates?</t>
        </is>
      </c>
    </row>
    <row r="77">
      <c r="D77" t="inlineStr">
        <is>
          <t>Open the "Choices and Notes" section in extreme left using "&lt;--" or "+" under "F" column.</t>
        </is>
      </c>
    </row>
    <row r="78">
      <c r="D78" t="inlineStr">
        <is>
          <t>It shows following columns:</t>
        </is>
      </c>
    </row>
    <row r="79">
      <c r="E79" s="220" t="inlineStr">
        <is>
          <t>Add Buffer:</t>
        </is>
      </c>
      <c r="F79" t="inlineStr">
        <is>
          <t>It gives three choices Low, Medium and High. Selecting any one, will add certain % of buffer in the final effort shown.</t>
        </is>
      </c>
    </row>
    <row r="80">
      <c r="G80" t="inlineStr">
        <is>
          <t>Calculated effort will not be impacted. This value is added on final effort (including any Extras effort).</t>
        </is>
      </c>
    </row>
    <row r="81">
      <c r="G81" t="inlineStr">
        <is>
          <t>Again, these Low, Medium and High % values are configurable under "Estimation Support Settings --&gt; Buffer Types" section.</t>
        </is>
      </c>
    </row>
    <row r="82">
      <c r="E82" s="220" t="inlineStr">
        <is>
          <t>Extras:</t>
        </is>
      </c>
      <c r="F82" t="inlineStr">
        <is>
          <t>This shows choices like Unit Testing, Unknowns, etc. These values (names) and associated % values are configurable under "Estimation Support Settings - Extras" section.</t>
        </is>
      </c>
    </row>
    <row r="83">
      <c r="G83" t="inlineStr">
        <is>
          <t>This effort is added on top of calculated effort which might have reduced using -N value.</t>
        </is>
      </c>
    </row>
    <row r="85" ht="21" customFormat="1" customHeight="1" s="229">
      <c r="B85" s="228" t="n">
        <v>13</v>
      </c>
      <c r="C85" s="228" t="inlineStr">
        <is>
          <t>There are few more columns in Choices and Notes section. What are these?</t>
        </is>
      </c>
    </row>
    <row r="86">
      <c r="D86" t="inlineStr">
        <is>
          <t>Yes, there are few more. These are:</t>
        </is>
      </c>
    </row>
    <row r="87">
      <c r="E87" s="220" t="inlineStr">
        <is>
          <t>Mark as Optional:</t>
        </is>
      </c>
      <c r="F87" t="inlineStr">
        <is>
          <t>At times we need to include certain tasks which are not part of the given requirements but are advisable to have.</t>
        </is>
      </c>
    </row>
    <row r="88">
      <c r="E88" s="220" t="n"/>
      <c r="F88" t="inlineStr">
        <is>
          <t>It was a problem, because if we add those, estimates used to go high and if we don't add them we were assumed to have not thought of those.</t>
        </is>
      </c>
    </row>
    <row r="89">
      <c r="E89" s="220" t="n"/>
      <c r="F89" t="inlineStr">
        <is>
          <t>Not anymore. Now all such "seemingly-out-of-scope-but-recommended-to-have" type of tasks can be added and marked as optional by choosing "Yes" in this column.</t>
        </is>
      </c>
    </row>
    <row r="90">
      <c r="E90" s="220" t="n"/>
      <c r="F90" t="inlineStr">
        <is>
          <t>This ensures that we do cover everything. At the same time, Sales can make a informative judgements without breaking overall sanity of the estimation / wbs.</t>
        </is>
      </c>
    </row>
    <row r="91">
      <c r="E91" s="220" t="n"/>
      <c r="F91" t="inlineStr">
        <is>
          <t>Sales has a top level "Optionals: Include/Exclude" choice which includes or excludes all optionally marked activities.</t>
        </is>
      </c>
    </row>
    <row r="92">
      <c r="E92" s="220" t="inlineStr">
        <is>
          <t>Exclude:</t>
        </is>
      </c>
      <c r="F92" t="inlineStr">
        <is>
          <t>To exclude a specific optional / non-optional activity, choose 'Yes" for this column and it will be marked as excluded.</t>
        </is>
      </c>
    </row>
    <row r="93">
      <c r="E93" s="220" t="n"/>
      <c r="F93" t="inlineStr">
        <is>
          <t>All excluded rows *do not* get added in total effort, schedule or cost.</t>
        </is>
      </c>
    </row>
    <row r="94">
      <c r="E94" s="220" t="inlineStr">
        <is>
          <t>Notes:</t>
        </is>
      </c>
      <c r="F94" t="inlineStr">
        <is>
          <t>While iterating over estimate, while reviewing etc. This column comes handy and allows writing any sort of notes for the in-progress version of the document.</t>
        </is>
      </c>
    </row>
    <row r="96" ht="21" customFormat="1" customHeight="1" s="229">
      <c r="B96" s="228" t="n">
        <v>14</v>
      </c>
      <c r="C96" s="228" t="inlineStr">
        <is>
          <t>At times, it shows some colored lines on extreme left - what does these mean?</t>
        </is>
      </c>
    </row>
    <row r="97">
      <c r="D97" t="inlineStr">
        <is>
          <t>Yes, it shows following colored lines:</t>
        </is>
      </c>
    </row>
    <row r="98">
      <c r="E98" s="220" t="inlineStr">
        <is>
          <t>Red:</t>
        </is>
      </c>
      <c r="F98" t="inlineStr">
        <is>
          <t>Depicts that either there is some error on this line, or the activity is excluded. Check out the error details on extreme right column.</t>
        </is>
      </c>
    </row>
    <row r="99">
      <c r="E99" s="220" t="inlineStr">
        <is>
          <t>Orange:</t>
        </is>
      </c>
      <c r="F99" t="inlineStr">
        <is>
          <t>Depicts that activity is marked as optional.</t>
        </is>
      </c>
    </row>
    <row r="100">
      <c r="E100" s="220" t="inlineStr">
        <is>
          <t>Blue:</t>
        </is>
      </c>
      <c r="F100" t="inlineStr">
        <is>
          <t>Marks that "Buffer" is added.</t>
        </is>
      </c>
    </row>
    <row r="101">
      <c r="E101" s="220" t="inlineStr">
        <is>
          <t>Magenta:</t>
        </is>
      </c>
      <c r="F101" t="inlineStr">
        <is>
          <t>Marks that "Extras" is added.</t>
        </is>
      </c>
    </row>
    <row r="102">
      <c r="E102" s="220" t="inlineStr">
        <is>
          <t>Yellow:</t>
        </is>
      </c>
      <c r="F102" t="inlineStr">
        <is>
          <t>Depicts that some notes / review comments exists on this line.</t>
        </is>
      </c>
    </row>
    <row r="104" ht="21" customFormat="1" customHeight="1" s="229">
      <c r="B104" s="228" t="n">
        <v>15</v>
      </c>
      <c r="C104" s="228" t="inlineStr">
        <is>
          <t>Calculated effort is showing less / more effort than calculated one. I have not even added any extras or buffer. Why?</t>
        </is>
      </c>
    </row>
    <row r="105">
      <c r="D105" t="inlineStr">
        <is>
          <t xml:space="preserve">There is a "Sales Call Scale" on top which lets Sales to increase/reduce effort per activity level all at once. </t>
        </is>
      </c>
    </row>
    <row r="106">
      <c r="D106" t="inlineStr">
        <is>
          <t>Ensure that selection is set to "No Change". Thereafter there should not be any seemingly incorrect effort.</t>
        </is>
      </c>
    </row>
    <row r="108" ht="21" customFormat="1" customHeight="1" s="229">
      <c r="B108" s="228" t="n">
        <v>16</v>
      </c>
      <c r="C108" s="228" t="inlineStr">
        <is>
          <t>I have to calculate some effort based on total development effort. How do I do that?</t>
        </is>
      </c>
    </row>
    <row r="109">
      <c r="D109" t="inlineStr">
        <is>
          <t>There are special names that can be used in your own formule. All these names are written in "Estimation Support Settings" section.</t>
        </is>
      </c>
    </row>
    <row r="110">
      <c r="D110" t="inlineStr">
        <is>
          <t>There are some special names as well, e.g., "As Dev Effort %", this can be used in "Unit Name" columm and "#" column can define the "%" value (as number).</t>
        </is>
      </c>
    </row>
    <row r="111">
      <c r="D111" t="inlineStr">
        <is>
          <t>This will automatically put the effort as #% of Development Effort.</t>
        </is>
      </c>
    </row>
    <row r="114" ht="18.5" customHeight="1" s="232">
      <c r="B114" s="233" t="inlineStr">
        <is>
          <t>FOR PRESALES / MMs</t>
        </is>
      </c>
    </row>
    <row r="116" ht="21" customFormat="1" customHeight="1" s="229">
      <c r="B116" s="227" t="n">
        <v>17</v>
      </c>
      <c r="C116" s="227" t="inlineStr">
        <is>
          <t>I want to configure automated scheduling for better. How do I do that?</t>
        </is>
      </c>
    </row>
    <row r="117">
      <c r="D117" t="inlineStr">
        <is>
          <t>Automated scheduling works based on following three:</t>
        </is>
      </c>
    </row>
    <row r="118">
      <c r="E118" t="inlineStr">
        <is>
          <t>Role wise distribution / phase: Define a % value for each role. Not all roles will be involved in each phases. This is a generic and average figure.</t>
        </is>
      </c>
    </row>
    <row r="119">
      <c r="E119" t="inlineStr">
        <is>
          <t>Role wise resource count / phase: Define number of resources that should be put in each phase for each role. This is again an average value.</t>
        </is>
      </c>
    </row>
    <row r="120">
      <c r="E120" t="inlineStr">
        <is>
          <t>Start next phase after %: This brings in some parrallism, by defining when to start next phase in relation of previous phase completion %.</t>
        </is>
      </c>
    </row>
    <row r="121" customFormat="1" s="231">
      <c r="F121" t="inlineStr">
        <is>
          <t>E.g., start designing phase after 75% of requirement phase is done.</t>
        </is>
      </c>
    </row>
    <row r="122" customFormat="1" s="231"/>
    <row r="123" customFormat="1" s="231">
      <c r="E123" t="inlineStr">
        <is>
          <t>By playing around with these numbers, and optimizing these values, automated scheduling can be configured for better. However please note:</t>
        </is>
      </c>
    </row>
    <row r="124" customFormat="1" s="231">
      <c r="F124" t="inlineStr">
        <is>
          <t>Automated scheduling does not do fully-optimized parallel execution / resource loading.</t>
        </is>
      </c>
    </row>
    <row r="125" customFormat="1" s="231">
      <c r="F125" t="inlineStr">
        <is>
          <t xml:space="preserve">It should be used to get a tentative idea of end date. </t>
        </is>
      </c>
    </row>
    <row r="126">
      <c r="F126" t="inlineStr">
        <is>
          <t>Manual scheduling will always give better visibility of end date.</t>
        </is>
      </c>
    </row>
    <row r="127"/>
    <row r="128" ht="21" customFormat="1" customHeight="1" s="229">
      <c r="B128" s="227" t="n">
        <v>18</v>
      </c>
      <c r="C128" s="227" t="inlineStr">
        <is>
          <t>I have done manual scheduling - but the project management effort is not updated as per new schedule duration. Why?</t>
        </is>
      </c>
    </row>
    <row r="129">
      <c r="D129" t="inlineStr">
        <is>
          <t>Project Management Activity is generally added in Others section with "As Duration %" unit name and "#" as project manager's expected allocation % number.</t>
        </is>
      </c>
    </row>
    <row r="130">
      <c r="D130" t="inlineStr">
        <is>
          <t>This takes the defined "Start Date" and defined "End Date" on "Schedule" sheet in consideration to get the duration of the project. And uses the defined % of</t>
        </is>
      </c>
    </row>
    <row r="131">
      <c r="D131" t="inlineStr">
        <is>
          <t xml:space="preserve">calculated net working days between these two dates. </t>
        </is>
      </c>
    </row>
    <row r="132">
      <c r="D132" t="inlineStr">
        <is>
          <t>So if any of the above is not done, this will not calculate well. Fix the missing piece and it will work.</t>
        </is>
      </c>
    </row>
    <row r="134" ht="21" customFormat="1" customHeight="1" s="229">
      <c r="B134" s="227" t="n">
        <v>19</v>
      </c>
      <c r="C134" s="227" t="inlineStr">
        <is>
          <t>I want to update rates for correct cost calculation. Where do I do that?</t>
        </is>
      </c>
    </row>
    <row r="135">
      <c r="D135" t="inlineStr">
        <is>
          <t>Open "Price and Basic Scheduling" section and look for "Role wise Rates" section where you can update these rates. Updating these rates, updates all costing automatically.</t>
        </is>
      </c>
    </row>
    <row r="137" ht="21" customFormat="1" customHeight="1" s="229">
      <c r="B137" s="227" t="n">
        <v>20</v>
      </c>
      <c r="C137" s="227" t="inlineStr">
        <is>
          <t>It is showing currency as USD only. How do I change currency?</t>
        </is>
      </c>
    </row>
    <row r="138">
      <c r="D138" t="inlineStr">
        <is>
          <t>"Estimation Support Settings" section has "Currency" dropdown to choose currency.</t>
        </is>
      </c>
    </row>
    <row r="140" ht="21" customFormat="1" customHeight="1" s="229">
      <c r="B140" s="227" t="n">
        <v>21</v>
      </c>
      <c r="C140" s="227" t="inlineStr">
        <is>
          <t>I want to take the WBS summary in final proposal document. How do I do that?</t>
        </is>
      </c>
    </row>
    <row r="141">
      <c r="D141" t="inlineStr">
        <is>
          <t>For WBS Summary, goto "Functional Breakdown Summary" section and refresh the list. This shows the list of all task groups and tasks with cumulative effort and cost</t>
        </is>
      </c>
    </row>
    <row r="142">
      <c r="D142" t="inlineStr">
        <is>
          <t>of all phases. This can directly be copied/pasted in final proposal.</t>
        </is>
      </c>
    </row>
    <row r="144" ht="21" customFormat="1" customHeight="1" s="229">
      <c r="B144" s="227" t="n">
        <v>22</v>
      </c>
      <c r="C144" s="227" t="inlineStr">
        <is>
          <t>I want to take full WBS in final proposal document. How do I do that?</t>
        </is>
      </c>
    </row>
    <row r="145">
      <c r="D145" t="inlineStr">
        <is>
          <t>For whole of WBS, if you would copy/paste as is, you would need to do certain amount of formatting, as there are several intersparsed thin and empty rows in here.</t>
        </is>
      </c>
    </row>
    <row r="146">
      <c r="D146" t="inlineStr">
        <is>
          <t>To make it simple and ensure formatting does not break, it provides an image copy option. There are two modes available: Full and Compact which picks different</t>
        </is>
      </c>
    </row>
    <row r="147">
      <c r="D147" t="inlineStr">
        <is>
          <t xml:space="preserve">set of columns. This will copy entire WBS as one single image. In final proposal, you might need to paste it on few pages and crop-show only relevant areas. </t>
        </is>
      </c>
    </row>
    <row r="148">
      <c r="D148" t="inlineStr">
        <is>
          <t>For proposal, generally the Compact view would be suitable.</t>
        </is>
      </c>
    </row>
    <row r="151" ht="18.5" customHeight="1" s="232">
      <c r="B151" s="233" t="inlineStr">
        <is>
          <t>FOR SALES</t>
        </is>
      </c>
    </row>
    <row r="153" ht="21" customFormat="1" customHeight="1" s="229">
      <c r="B153" s="230" t="n">
        <v>23</v>
      </c>
      <c r="C153" s="230" t="inlineStr">
        <is>
          <t>I want to squeeze the effort to bare minimum. How do I do that?</t>
        </is>
      </c>
    </row>
    <row r="154">
      <c r="D154" t="inlineStr">
        <is>
          <t>Effort that we do generally have some buffer built into it, either explicitely (in buffer column) or otherwise.</t>
        </is>
      </c>
    </row>
    <row r="155">
      <c r="D155" t="inlineStr">
        <is>
          <t>To remove the buffer, it is recommended that Sales Call scale should be set to "Minimize". This applies the reduction in all tasks on a predefined % that was set</t>
        </is>
      </c>
    </row>
    <row r="156">
      <c r="D156" t="inlineStr">
        <is>
          <t>by the person who did the estimation; keeeping the complexity in mind.</t>
        </is>
      </c>
    </row>
    <row r="157">
      <c r="D157" t="inlineStr">
        <is>
          <t>To increase the effort to maximum possible, set the scale to "Maximize" which increases it to maximum justifiable level.</t>
        </is>
      </c>
    </row>
    <row r="159" ht="21" customFormat="1" customHeight="1" s="229">
      <c r="B159" s="230" t="n">
        <v>24</v>
      </c>
      <c r="C159" s="230" t="inlineStr">
        <is>
          <t>I want to increase / decrease effort by a specified %. Can this be done?</t>
        </is>
      </c>
    </row>
    <row r="160">
      <c r="D160" t="inlineStr">
        <is>
          <t xml:space="preserve">Yes this can be done, however technical justification beyond defined minimum / maximum % might not be feasible. </t>
        </is>
      </c>
    </row>
    <row r="161">
      <c r="D161" t="inlineStr">
        <is>
          <t>To increase / decrease, choose "Increase by:" or "Decrease by:" option on "Sales Call" scale and define required % value right next to it.</t>
        </is>
      </c>
    </row>
    <row r="162">
      <c r="D162" t="inlineStr">
        <is>
          <t xml:space="preserve">It will apply changes all over, including automated schedule. </t>
        </is>
      </c>
    </row>
    <row r="163">
      <c r="D163" t="inlineStr">
        <is>
          <t>Note: Manual schedule and Project Management effort (if added as Duration %) will remain as is, since that is a manual activity.</t>
        </is>
      </c>
    </row>
    <row r="165" ht="21" customFormat="1" customHeight="1" s="229">
      <c r="B165" s="230" t="n">
        <v>25</v>
      </c>
      <c r="C165" s="230" t="inlineStr">
        <is>
          <t>I want to exclude all optionals in order to keep tasks to bare minimum. How do I do that?</t>
        </is>
      </c>
    </row>
    <row r="166">
      <c r="D166" t="inlineStr">
        <is>
          <t>Have a look at the left area in WBS. Are there any Orange lines? If yes, this means, there are opitonally marked items. Set the "Optionals" choice on top to</t>
        </is>
      </c>
    </row>
    <row r="167">
      <c r="D167" t="inlineStr">
        <is>
          <t xml:space="preserve">"Exclude" and it will remove the effort for optional tasks. </t>
        </is>
      </c>
    </row>
    <row r="168">
      <c r="D168" t="inlineStr">
        <is>
          <t>Whenever this is changes, all effort, costing and schedule is updated. Note: Manual schedule will have no impact of this change and will need to be redone.</t>
        </is>
      </c>
    </row>
    <row r="172" ht="18.5" customHeight="1" s="232">
      <c r="B172" s="233" t="inlineStr">
        <is>
          <t>FOR ALL</t>
        </is>
      </c>
    </row>
    <row r="174" ht="21" customFormat="1" customHeight="1" s="229">
      <c r="B174" s="226" t="n">
        <v>26</v>
      </c>
      <c r="C174" s="226" t="inlineStr">
        <is>
          <t>I am looking for something else, this is not mentioned here. Where to look for?</t>
        </is>
      </c>
    </row>
    <row r="175">
      <c r="C175" t="inlineStr">
        <is>
          <t>Please send me a mail at vikas.burman@nagarro.com and I will address that.</t>
        </is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Mohit Bhardwaj</dc:creator>
  <dc:title>Estimation Template</dc:title>
  <dcterms:created xsi:type="dcterms:W3CDTF">2013-10-21T05:49:27Z</dcterms:created>
  <dcterms:modified xsi:type="dcterms:W3CDTF">2026-01-15T07:52:08Z</dcterms:modified>
  <cp:lastModifiedBy>Bhaskar Vig</cp:lastModifiedBy>
  <cp:lastPrinted>2015-06-17T10:58:29Z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0x01010042D37EA284E13942B467171D07EA769900DF6D81BBF89D0D4DA19794E72F57D948</vt:lpwstr>
  </property>
  <property name="Description0" fmtid="{D5CDD505-2E9C-101B-9397-08002B2CF9AE}" pid="3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Keyword" fmtid="{D5CDD505-2E9C-101B-9397-08002B2CF9AE}" pid="4">
    <vt:lpwstr/>
  </property>
  <property name="DocDescription" fmtid="{D5CDD505-2E9C-101B-9397-08002B2CF9AE}" pid="5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CatchAll" fmtid="{D5CDD505-2E9C-101B-9397-08002B2CF9AE}" pid="6">
    <vt:lpwstr/>
  </property>
  <property name="SharedWithUsers" fmtid="{D5CDD505-2E9C-101B-9397-08002B2CF9AE}" pid="7">
    <vt:lpwstr>31;#Ridhi Jain;#32;#All Users (membership)</vt:lpwstr>
  </property>
</Properties>
</file>